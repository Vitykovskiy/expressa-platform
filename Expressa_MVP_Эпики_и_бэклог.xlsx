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50beabe01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911f70d80f24f9f"/>
    <x:sheet xmlns:r="http://schemas.openxmlformats.org/officeDocument/2006/relationships" name="Эпики" sheetId="2" r:id="Re69380ae545f4dd5"/>
    <x:sheet xmlns:r="http://schemas.openxmlformats.org/officeDocument/2006/relationships" name="Бэклог" sheetId="3" r:id="Rc28eaea06cea4755"/>
    <x:sheet xmlns:r="http://schemas.openxmlformats.org/officeDocument/2006/relationships" name="Барьеры_DoR_DoD" sheetId="4" r:id="R488098c3b30b4908"/>
    <x:sheet xmlns:r="http://schemas.openxmlformats.org/officeDocument/2006/relationships" name="Трассировка" sheetId="5" r:id="R2390ec20d0c44603"/>
    <x:sheet xmlns:r="http://schemas.openxmlformats.org/officeDocument/2006/relationships" name="_Списки" sheetId="6" r:id="R1e913b1f5dec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%"/>
    <x:numFmt numFmtId="202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02A"/>
      <x:name val="Carlito"/>
    </x:font>
    <x:font>
      <x:b/>
      <x:sz val="12"/>
      <x:color rgb="FFFFFFFF"/>
      <x:name val="Carlito"/>
    </x:font>
    <x:font>
      <x:b/>
      <x:sz val="20"/>
      <x:color rgb="FF17202A"/>
      <x:name val="Carlito"/>
    </x:font>
    <x:font>
      <x:b/>
      <x:sz val="11"/>
      <x:color rgb="FF24344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2A"/>
      </x:patternFill>
    </x:fill>
    <x:fill>
      <x:patternFill patternType="solid">
        <x:fgColor rgb="FFDCE6F1"/>
      </x:patternFill>
    </x:fill>
    <x:fill>
      <x:patternFill patternType="solid">
        <x:fgColor rgb="FF243447"/>
      </x:patternFill>
    </x:fill>
    <x:fill>
      <x:patternFill patternType="solid">
        <x:fgColor rgb="FFF4F7FA"/>
      </x:patternFill>
    </x:fill>
    <x:fill>
      <x:patternFill patternType="solid">
        <x:fgColor rgb="FFEAF0F6"/>
      </x:patternFill>
    </x:fill>
  </x:fills>
  <x:borders count="2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201" fontId="4" fillId="5" borderId="12" xfId="0" applyNumberFormat="1" applyFont="1" applyFill="1" applyBorder="1" applyAlignment="1">
      <x:alignment horizontal="center" vertical="center"/>
    </x:xf>
    <x:xf numFmtId="201" fontId="4" fillId="5" borderId="1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horizontal="center" vertical="top" wrapText="1"/>
    </x:xf>
    <x:xf numFmtId="0" fontId="5" fillId="6" borderId="15" xfId="0" applyNumberFormat="1" applyFont="1" applyFill="1" applyBorder="1" applyAlignment="1">
      <x:alignment horizontal="center" vertical="top" wrapText="1"/>
    </x:xf>
    <x:xf numFmtId="0" fontId="5" fillId="6" borderId="16" xfId="0" applyNumberFormat="1" applyFont="1" applyFill="1" applyBorder="1" applyAlignment="1">
      <x:alignment horizontal="center" vertical="top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19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horizontal="center" vertical="top" wrapText="1"/>
    </x:xf>
    <x:xf numFmtId="0" fontId="5" fillId="6" borderId="18" xfId="0" applyNumberFormat="1" applyFont="1" applyFill="1" applyBorder="1" applyAlignment="1">
      <x:alignment horizontal="center" vertical="top" wrapText="1"/>
    </x:xf>
    <x:xf numFmtId="0" fontId="5" fillId="6" borderId="19" xfId="0" applyNumberFormat="1" applyFont="1" applyFill="1" applyBorder="1" applyAlignment="1">
      <x:alignment horizontal="center" vertical="top" wrapText="1"/>
    </x:xf>
    <x:xf numFmtId="0" fontId="5" fillId="6" borderId="17" xfId="0" applyNumberFormat="1" applyFont="1" applyFill="1" applyBorder="1" applyAlignment="1">
      <x:alignment horizontal="center" vertical="center" wrapText="1"/>
    </x:xf>
    <x:xf numFmtId="0" fontId="5" fillId="6" borderId="18" xfId="0" applyNumberFormat="1" applyFont="1" applyFill="1" applyBorder="1" applyAlignment="1">
      <x:alignment horizontal="center" vertical="center" wrapText="1"/>
    </x:xf>
    <x:xf numFmtId="0" fontId="5" fillId="6" borderId="19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202" fontId="0" fillId="0" borderId="5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4" xfId="0" applyNumberFormat="1" applyFont="1" applyFill="1" applyBorder="1" applyAlignment="1">
      <x:alignment horizontal="center"/>
    </x:xf>
    <x:xf numFmtId="0" fontId="5" fillId="6" borderId="15" xfId="0" applyNumberFormat="1" applyFont="1" applyFill="1" applyBorder="1" applyAlignment="1">
      <x:alignment horizontal="center"/>
    </x:xf>
    <x:xf numFmtId="0" fontId="5" fillId="6" borderId="16" xfId="0" applyNumberFormat="1" applyFont="1" applyFill="1" applyBorder="1" applyAlignment="1">
      <x:alignment horizontal="center"/>
    </x:xf>
    <x:xf numFmtId="0" fontId="5" fillId="6" borderId="14" xfId="0" applyNumberFormat="1" applyFont="1" applyFill="1" applyBorder="1" applyAlignment="1">
      <x:alignment horizontal="center" vertical="center"/>
    </x:xf>
    <x:xf numFmtId="0" fontId="5" fillId="6" borderId="15" xfId="0" applyNumberFormat="1" applyFont="1" applyFill="1" applyBorder="1" applyAlignment="1">
      <x:alignment horizontal="center" vertical="center"/>
    </x:xf>
    <x:xf numFmtId="0" fontId="5" fillId="6" borderId="16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17" xfId="0" applyNumberFormat="1" applyFont="1" applyFill="1" applyBorder="1" applyAlignment="1">
      <x:alignment horizontal="center"/>
    </x:xf>
    <x:xf numFmtId="0" fontId="5" fillId="6" borderId="18" xfId="0" applyNumberFormat="1" applyFont="1" applyFill="1" applyBorder="1" applyAlignment="1">
      <x:alignment horizontal="center"/>
    </x:xf>
    <x:xf numFmtId="0" fontId="5" fillId="6" borderId="19" xfId="0" applyNumberFormat="1" applyFont="1" applyFill="1" applyBorder="1" applyAlignment="1">
      <x:alignment horizontal="center"/>
    </x:xf>
    <x:xf numFmtId="0" fontId="5" fillId="6" borderId="17" xfId="0" applyNumberFormat="1" applyFont="1" applyFill="1" applyBorder="1" applyAlignment="1">
      <x:alignment horizontal="center" vertical="center"/>
    </x:xf>
    <x:xf numFmtId="0" fontId="5" fillId="6" borderId="18" xfId="0" applyNumberFormat="1" applyFont="1" applyFill="1" applyBorder="1" applyAlignment="1">
      <x:alignment horizontal="center" vertical="center"/>
    </x:xf>
    <x:xf numFmtId="0" fontId="5" fillId="6" borderId="19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1" fontId="4" fillId="5" borderId="2" xfId="0" applyNumberFormat="1" applyFont="1" applyFill="1" applyBorder="1" applyAlignment="1">
      <x:alignment horizontal="center"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201" fontId="4" fillId="5" borderId="6" xfId="0" applyNumberFormat="1" applyFont="1" applyFill="1" applyBorder="1" applyAlignment="1">
      <x:alignment horizontal="center" vertical="center" wrapText="1"/>
    </x:xf>
    <x:xf numFmtId="201" fontId="4" fillId="5" borderId="7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201" fontId="4" fillId="5" borderId="8" xfId="0" applyNumberFormat="1" applyFont="1" applyFill="1" applyBorder="1" applyAlignment="1">
      <x:alignment horizontal="center" vertical="center" wrapText="1"/>
    </x:xf>
    <x:xf numFmtId="201" fontId="4" fillId="5" borderId="9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201" fontId="4" fillId="5" borderId="12" xfId="0" applyNumberFormat="1" applyFont="1" applyFill="1" applyBorder="1" applyAlignment="1">
      <x:alignment horizontal="center" vertical="center" wrapText="1"/>
    </x:xf>
    <x:xf numFmtId="201" fontId="4" fillId="5" borderId="13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6" fillId="4" borderId="20" xfId="0" applyNumberFormat="1" applyFont="1" applyFill="1" applyBorder="1" applyAlignment="1">
      <x:alignment horizontal="center" vertical="center" wrapText="1"/>
    </x:xf>
    <x:xf numFmtId="0" fontId="6" fillId="4" borderId="22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6">
    <x:dxf>
      <x:font>
        <x:color rgb="FF243447"/>
      </x:font>
      <x:fill>
        <x:patternFill patternType="solid">
          <x:bgColor rgb="FFE9EEF3"/>
        </x:patternFill>
      </x:fill>
    </x:dxf>
    <x:dxf>
      <x:font>
        <x:color rgb="FF7A5600"/>
      </x:font>
      <x:fill>
        <x:patternFill patternType="solid">
          <x:bgColor rgb="FFFFF2CC"/>
        </x:patternFill>
      </x:fill>
    </x:dxf>
    <x:dxf>
      <x:font>
        <x:color rgb="FF8A1C1C"/>
      </x:font>
      <x:fill>
        <x:patternFill patternType="solid">
          <x:bgColor rgb="FFF4CCCC"/>
        </x:patternFill>
      </x:fill>
    </x:dxf>
    <x:dxf>
      <x:font>
        <x:color rgb="FF285C2B"/>
      </x:font>
      <x:fill>
        <x:patternFill patternType="solid">
          <x:bgColor rgb="FFD9EAD3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color rgb="FF7A56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285C2B"/>
      </x:font>
      <x:fill>
        <x:patternFill patternType="solid">
          <x:bgColor rgb="FFD9EAD3"/>
        </x:patternFill>
      </x:fill>
    </x:dxf>
    <x:dxf>
      <x:font>
        <x:b/>
        <x:color rgb="FF8A1C1C"/>
      </x:font>
      <x:fill>
        <x:patternFill patternType="solid">
          <x:bgColor rgb="FFF4CCCC"/>
        </x:patternFill>
      </x:fill>
    </x:dxf>
    <x:dxf>
      <x:font>
        <x:color rgb="FF17202A"/>
      </x:font>
      <x:fill>
        <x:patternFill patternType="solid">
          <x:bgColor rgb="FFEAF0F6"/>
        </x:patternFill>
      </x:fill>
    </x:dxf>
    <x:dxf>
      <x:fill>
        <x:patternFill patternType="solid">
          <x:bgColor rgb="FFF7F9FB"/>
        </x:patternFill>
      </x:fill>
    </x:dxf>
    <x:dxf>
      <x:fill>
        <x:patternFill patternType="solid">
          <x:bgColor rgb="FFF3F8F2"/>
        </x:patternFill>
      </x:fill>
    </x:dxf>
    <x:dxf>
      <x:font>
        <x:b/>
      </x:font>
      <x:fill>
        <x:patternFill patternType="solid">
          <x:bgColor rgb="FFEAF0F6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b38b8493b4a49" /><Relationship Type="http://schemas.openxmlformats.org/officeDocument/2006/relationships/theme" Target="/xl/theme/theme1.xml" Id="Rd1f0e38c010f4ba4" /><Relationship Type="http://schemas.openxmlformats.org/officeDocument/2006/relationships/sharedStrings" Target="/xl/sharedStrings.xml" Id="R89f0cf39ba5b48ca" /><Relationship Type="http://schemas.openxmlformats.org/officeDocument/2006/relationships/worksheet" Target="/xl/worksheets/sheet1.xml" Id="Re911f70d80f24f9f" /><Relationship Type="http://schemas.openxmlformats.org/officeDocument/2006/relationships/worksheet" Target="/xl/worksheets/sheet2.xml" Id="Re69380ae545f4dd5" /><Relationship Type="http://schemas.openxmlformats.org/officeDocument/2006/relationships/worksheet" Target="/xl/worksheets/sheet3.xml" Id="Rc28eaea06cea4755" /><Relationship Type="http://schemas.openxmlformats.org/officeDocument/2006/relationships/worksheet" Target="/xl/worksheets/sheet4.xml" Id="R488098c3b30b4908" /><Relationship Type="http://schemas.openxmlformats.org/officeDocument/2006/relationships/worksheet" Target="/xl/worksheets/sheet5.xml" Id="R2390ec20d0c44603" /><Relationship Type="http://schemas.openxmlformats.org/officeDocument/2006/relationships/worksheet" Target="/xl/worksheets/sheet6.xml" Id="R1e913b1f5dec49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560ee3403048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Задачи по контурам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Задачи</c:v>
          </c:tx>
          <c:cat>
            <c:strRef>
              <c:f>'README'!$A$19:$A$23</c:f>
              <c:strCache>
                <c:ptCount val="0"/>
              </c:strCache>
            </c:strRef>
          </c:cat>
          <c:val>
            <c:numRef>
              <c:f>'README'!$B$19:$B$23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560ee3403048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picsTable" displayName="EpicsTable" ref="A1:H13" headerRowCount="1">
  <x:tableColumns count="8">
    <x:tableColumn id="1" name="ID"/>
    <x:tableColumn id="2" name="Эпик"/>
    <x:tableColumn id="3" name="Цель"/>
    <x:tableColumn id="4" name="Фаза"/>
    <x:tableColumn id="5" name="Зависимости"/>
    <x:tableColumn id="6" name="Критерий входа"/>
    <x:tableColumn id="7" name="Критерий выхода"/>
    <x:tableColumn id="8" name="Задач"/>
  </x:tableColumns>
  <x:tableStyleInfo name="TableStyleMedium2" showRowStripes="1"/>
</x:table>
</file>

<file path=xl/tables/table2.xml><?xml version="1.0" encoding="utf-8"?>
<x:table xmlns:x="http://schemas.openxmlformats.org/spreadsheetml/2006/main" id="2" name="BacklogTable" displayName="BacklogTable" ref="A1:L181" headerRowCount="1">
  <x:tableColumns count="12">
    <x:tableColumn id="1" name="ID"/>
    <x:tableColumn id="2" name="Эпик"/>
    <x:tableColumn id="3" name="Контур"/>
    <x:tableColumn id="4" name="Задача"/>
    <x:tableColumn id="5" name="Результат"/>
    <x:tableColumn id="6" name="Критерии приёмки"/>
    <x:tableColumn id="7" name="Зависимости"/>
    <x:tableColumn id="8" name="Требования"/>
    <x:tableColumn id="9" name="Документация в DoD"/>
    <x:tableColumn id="10" name="Размер"/>
    <x:tableColumn id="11" name="Приоритет"/>
    <x:tableColumn id="12" name="Статус"/>
  </x:tableColumns>
  <x:tableStyleInfo name="TableStyleMedium2" showRowStripes="1"/>
</x:table>
</file>

<file path=xl/tables/table3.xml><?xml version="1.0" encoding="utf-8"?>
<x:table xmlns:x="http://schemas.openxmlformats.org/spreadsheetml/2006/main" id="3" name="GatesTable" displayName="GatesTable" ref="A1:F26" headerRowCount="1">
  <x:tableColumns count="6">
    <x:tableColumn id="1" name="Тип"/>
    <x:tableColumn id="2" name="ID"/>
    <x:tableColumn id="3" name="Наименование"/>
    <x:tableColumn id="4" name="Критерий"/>
    <x:tableColumn id="5" name="Проверка / артефакт"/>
    <x:tableColumn id="6" name="Владелец"/>
  </x:tableColumns>
  <x:tableStyleInfo name="TableStyleMedium2" showRowStripes="1"/>
</x:table>
</file>

<file path=xl/tables/table4.xml><?xml version="1.0" encoding="utf-8"?>
<x:table xmlns:x="http://schemas.openxmlformats.org/spreadsheetml/2006/main" id="4" name="TraceabilityTable" displayName="TraceabilityTable" ref="A1:G138" headerRowCount="1">
  <x:tableColumns count="7">
    <x:tableColumn id="1" name="ID требования"/>
    <x:tableColumn id="2" name="Тип"/>
    <x:tableColumn id="3" name="Требование"/>
    <x:tableColumn id="4" name="Эпики"/>
    <x:tableColumn id="5" name="Количество задач"/>
    <x:tableColumn id="6" name="Задачи"/>
    <x:tableColumn id="7" name="Покрыт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ecf5daf6c84c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1d6c909cee40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94188ac8124b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2f96698a7d49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4ebd787a8147e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6" customHeight="1">
      <x:c r="A1" s="164" t="str">
        <x:v>Expressa MVP — эпики и полный бэклог</x:v>
      </x:c>
      <x:c r="B1" s="164"/>
      <x:c r="C1" s="164"/>
      <x:c r="D1" s="164"/>
      <x:c r="E1" s="164"/>
      <x:c r="F1" s="164"/>
      <x:c r="G1" s="164"/>
      <x:c r="H1" s="164"/>
      <x:c r="I1" s="164"/>
      <x:c r="J1" s="164"/>
      <x:c r="K1" s="16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</x:row>
    <x:row r="3" ht="24" customHeight="1">
      <x:c r="A3" s="18" t="str">
        <x:v>Версия</x:v>
      </x:c>
      <x:c r="B3" s="30" t="str">
        <x:v>2.0</x:v>
      </x:c>
      <x:c r="C3" s="84"/>
      <x:c r="D3" s="165" t="str">
        <x:v>Эпики</x:v>
      </x:c>
      <x:c r="E3" s="165"/>
      <x:c r="F3" s="165" t="str">
        <x:v>Задачи</x:v>
      </x:c>
      <x:c r="G3" s="165"/>
      <x:c r="H3" s="165" t="str">
        <x:v>Storybook-задачи</x:v>
      </x:c>
      <x:c r="I3" s="165"/>
      <x:c r="J3" s="165" t="str">
        <x:v>Покрытие требований</x:v>
      </x:c>
      <x:c r="K3" s="165"/>
    </x:row>
    <x:row r="4" ht="24" customHeight="1">
      <x:c r="A4" s="20" t="str">
        <x:v>Дата</x:v>
      </x:c>
      <x:c r="B4" s="36" t="str">
        <x:v>24.07.2026</x:v>
      </x:c>
      <x:c r="C4" s="84"/>
      <x:c r="D4" s="166" t="n">
        <x:f>COUNTA('Эпики'!$A$2:$A$13)</x:f>
        <x:v>12</x:v>
      </x:c>
      <x:c r="E4" s="167"/>
      <x:c r="F4" s="166" t="n">
        <x:f>COUNTA('Бэклог'!$A$2:$A$181)</x:f>
        <x:v>180</x:v>
      </x:c>
      <x:c r="G4" s="167"/>
      <x:c r="H4" s="166" t="n">
        <x:f>COUNTIF('Бэклог'!$B$2:$B$181,"E02")+COUNTIF('Бэклог'!$B$2:$B$181,"E03")</x:f>
        <x:v>41</x:v>
      </x:c>
      <x:c r="I4" s="167"/>
      <x:c r="J4" s="168" t="n">
        <x:f>COUNTIF('Трассировка'!$G$2:$G$138,"Покрыто")/COUNTA('Трассировка'!$A$2:$A$138)</x:f>
        <x:v>1</x:v>
      </x:c>
      <x:c r="K4" s="169"/>
    </x:row>
    <x:row r="5" ht="24" customHeight="1">
      <x:c r="A5" s="20" t="str">
        <x:v>Основание</x:v>
      </x:c>
      <x:c r="B5" s="31" t="str">
        <x:v>Expressa_MVP_Техническое_задание.md</x:v>
      </x:c>
      <x:c r="C5" s="84"/>
      <x:c r="D5" s="170"/>
      <x:c r="E5" s="171"/>
      <x:c r="F5" s="170"/>
      <x:c r="G5" s="171"/>
      <x:c r="H5" s="170"/>
      <x:c r="I5" s="171"/>
      <x:c r="J5" s="172"/>
      <x:c r="K5" s="173"/>
    </x:row>
    <x:row r="6" ht="24" customHeight="1">
      <x:c r="A6" s="20" t="str">
        <x:v>Репозитории</x:v>
      </x:c>
      <x:c r="B6" s="31" t="str">
        <x:v>backend · front-office · back-office</x:v>
      </x:c>
      <x:c r="C6" s="84"/>
      <x:c r="D6" s="84"/>
      <x:c r="E6" s="84"/>
      <x:c r="F6" s="84"/>
      <x:c r="G6" s="84"/>
      <x:c r="H6" s="84"/>
      <x:c r="I6" s="84"/>
      <x:c r="J6" s="84"/>
      <x:c r="K6" s="84"/>
    </x:row>
    <x:row r="7" ht="24" customHeight="1">
      <x:c r="A7" s="20" t="str">
        <x:v>Менеджер пакетов</x:v>
      </x:c>
      <x:c r="B7" s="31" t="str">
        <x:v>npm</x:v>
      </x:c>
      <x:c r="C7" s="84"/>
      <x:c r="D7" s="84"/>
      <x:c r="E7" s="84"/>
      <x:c r="F7" s="84"/>
      <x:c r="G7" s="84"/>
      <x:c r="H7" s="84"/>
      <x:c r="I7" s="84"/>
      <x:c r="J7" s="84"/>
      <x:c r="K7" s="84"/>
    </x:row>
    <x:row r="8" ht="24" customHeight="1">
      <x:c r="A8" s="22" t="str">
        <x:v>Состав</x:v>
      </x:c>
      <x:c r="B8" s="32" t="str">
        <x:v>12 эпиков · 180 задач · 5 контуров</x:v>
      </x:c>
      <x:c r="C8" s="84"/>
      <x:c r="D8" s="84"/>
      <x:c r="E8" s="84"/>
      <x:c r="F8" s="84"/>
      <x:c r="G8" s="84"/>
      <x:c r="H8" s="84"/>
      <x:c r="I8" s="84"/>
      <x:c r="J8" s="84"/>
      <x:c r="K8" s="84"/>
    </x:row>
    <x:row r="9" ht="24" customHeight="1">
      <x:c r="A9" s="84"/>
      <x:c r="B9" s="84"/>
      <x:c r="C9" s="84"/>
      <x:c r="D9" s="84"/>
      <x:c r="E9" s="84"/>
      <x:c r="F9" s="84"/>
      <x:c r="G9" s="84"/>
      <x:c r="H9" s="84"/>
      <x:c r="I9" s="84"/>
      <x:c r="J9" s="84"/>
      <x:c r="K9" s="84"/>
    </x:row>
    <x:row r="10" ht="28" customHeight="1">
      <x:c r="A10" s="174" t="str">
        <x:v>Зафиксированные правила</x:v>
      </x:c>
      <x:c r="B10" s="174"/>
      <x:c r="C10" s="174"/>
      <x:c r="D10" s="174"/>
      <x:c r="E10" s="174"/>
      <x:c r="F10" s="174"/>
      <x:c r="G10" s="174"/>
      <x:c r="H10" s="174"/>
      <x:c r="I10" s="174"/>
      <x:c r="J10" s="174"/>
      <x:c r="K10" s="174"/>
    </x:row>
    <x:row r="11" ht="24" customHeight="1">
      <x:c r="A11" s="96" t="str">
        <x:v>1</x:v>
      </x:c>
      <x:c r="B11" s="110" t="str">
        <x:v>Три автономных репозитория с отдельной документацией и поставкой.</x:v>
      </x:c>
      <x:c r="C11" s="111"/>
      <x:c r="D11" s="111"/>
      <x:c r="E11" s="111"/>
      <x:c r="F11" s="111"/>
      <x:c r="G11" s="111"/>
      <x:c r="H11" s="111"/>
      <x:c r="I11" s="111"/>
      <x:c r="J11" s="111"/>
      <x:c r="K11" s="112"/>
    </x:row>
    <x:row r="12" ht="24" customHeight="1">
      <x:c r="A12" s="97" t="str">
        <x:v>2</x:v>
      </x:c>
      <x:c r="B12" s="113" t="str">
        <x:v>Общие пакеты и компоненты между репозиториями: 0.</x:v>
      </x:c>
      <x:c r="C12" s="85"/>
      <x:c r="D12" s="85"/>
      <x:c r="E12" s="85"/>
      <x:c r="F12" s="85"/>
      <x:c r="G12" s="85"/>
      <x:c r="H12" s="85"/>
      <x:c r="I12" s="85"/>
      <x:c r="J12" s="85"/>
      <x:c r="K12" s="114"/>
    </x:row>
    <x:row r="13" ht="24" customHeight="1">
      <x:c r="A13" s="97" t="str">
        <x:v>3</x:v>
      </x:c>
      <x:c r="B13" s="113" t="str">
        <x:v>OpenAPI backend служит межрепозиторным контрактом.</x:v>
      </x:c>
      <x:c r="C13" s="85"/>
      <x:c r="D13" s="85"/>
      <x:c r="E13" s="85"/>
      <x:c r="F13" s="85"/>
      <x:c r="G13" s="85"/>
      <x:c r="H13" s="85"/>
      <x:c r="I13" s="85"/>
      <x:c r="J13" s="85"/>
      <x:c r="K13" s="114"/>
    </x:row>
    <x:row r="14" ht="24" customHeight="1">
      <x:c r="A14" s="97" t="str">
        <x:v>4</x:v>
      </x:c>
      <x:c r="B14" s="113" t="str">
        <x:v>Storybook front-office и back-office проходит до интеграции бизнес-функций.</x:v>
      </x:c>
      <x:c r="C14" s="85"/>
      <x:c r="D14" s="85"/>
      <x:c r="E14" s="85"/>
      <x:c r="F14" s="85"/>
      <x:c r="G14" s="85"/>
      <x:c r="H14" s="85"/>
      <x:c r="I14" s="85"/>
      <x:c r="J14" s="85"/>
      <x:c r="K14" s="114"/>
    </x:row>
    <x:row r="15" ht="24" customHeight="1">
      <x:c r="A15" s="97" t="str">
        <x:v>5</x:v>
      </x:c>
      <x:c r="B15" s="113" t="str">
        <x:v>Документация актуализируется в той же задаче и pull request.</x:v>
      </x:c>
      <x:c r="C15" s="85"/>
      <x:c r="D15" s="85"/>
      <x:c r="E15" s="85"/>
      <x:c r="F15" s="85"/>
      <x:c r="G15" s="85"/>
      <x:c r="H15" s="85"/>
      <x:c r="I15" s="85"/>
      <x:c r="J15" s="85"/>
      <x:c r="K15" s="114"/>
    </x:row>
    <x:row r="16" ht="24" customHeight="1">
      <x:c r="A16" s="98" t="str">
        <x:v>6</x:v>
      </x:c>
      <x:c r="B16" s="115" t="str">
        <x:v>Начало разработки проходит через барьер G0: ТЗ, эпики, полный бэклог и трассировка готовы.</x:v>
      </x:c>
      <x:c r="C16" s="116"/>
      <x:c r="D16" s="116"/>
      <x:c r="E16" s="116"/>
      <x:c r="F16" s="116"/>
      <x:c r="G16" s="116"/>
      <x:c r="H16" s="116"/>
      <x:c r="I16" s="116"/>
      <x:c r="J16" s="116"/>
      <x:c r="K16" s="117"/>
    </x:row>
    <x:row r="17" ht="24" customHeight="1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  <x:c r="K17" s="84"/>
    </x:row>
    <x:row r="18" ht="24" customHeight="1">
      <x:c r="A18" s="134" t="str">
        <x:v>Контур</x:v>
      </x:c>
      <x:c r="B18" s="135" t="str">
        <x:v>Задачи</x:v>
      </x:c>
      <x:c r="C18" s="84"/>
      <x:c r="D18" s="84"/>
      <x:c r="E18" s="84"/>
      <x:c r="F18" s="84"/>
      <x:c r="G18" s="84"/>
      <x:c r="H18" s="84"/>
      <x:c r="I18" s="84"/>
      <x:c r="J18" s="84"/>
      <x:c r="K18" s="84"/>
    </x:row>
    <x:row r="19" ht="24" customHeight="1">
      <x:c r="A19" s="113" t="str">
        <x:v>Backend</x:v>
      </x:c>
      <x:c r="B19" s="138" t="n">
        <x:f>COUNTIF('Бэклог'!$C$2:$C$181,A19)</x:f>
        <x:v>49</x:v>
      </x:c>
      <x:c r="C19" s="84"/>
      <x:c r="D19" s="84"/>
      <x:c r="E19" s="84"/>
      <x:c r="F19" s="84"/>
      <x:c r="G19" s="84"/>
      <x:c r="H19" s="84"/>
      <x:c r="I19" s="84"/>
      <x:c r="J19" s="84"/>
      <x:c r="K19" s="84"/>
    </x:row>
    <x:row r="20" ht="24" customHeight="1">
      <x:c r="A20" s="113" t="str">
        <x:v>Front-office</x:v>
      </x:c>
      <x:c r="B20" s="138" t="n">
        <x:f>COUNTIF('Бэклог'!$C$2:$C$181,A20)</x:f>
        <x:v>42</x:v>
      </x:c>
      <x:c r="C20" s="84"/>
      <x:c r="D20" s="84"/>
      <x:c r="E20" s="84"/>
      <x:c r="F20" s="84"/>
      <x:c r="G20" s="84"/>
      <x:c r="H20" s="84"/>
      <x:c r="I20" s="84"/>
      <x:c r="J20" s="84"/>
      <x:c r="K20" s="84"/>
    </x:row>
    <x:row r="21" ht="24" customHeight="1">
      <x:c r="A21" s="113" t="str">
        <x:v>Back-office</x:v>
      </x:c>
      <x:c r="B21" s="138" t="n">
        <x:f>COUNTIF('Бэклог'!$C$2:$C$181,A21)</x:f>
        <x:v>46</x:v>
      </x:c>
      <x:c r="C21" s="84"/>
      <x:c r="D21" s="84"/>
      <x:c r="E21" s="84"/>
      <x:c r="F21" s="84"/>
      <x:c r="G21" s="84"/>
      <x:c r="H21" s="84"/>
      <x:c r="I21" s="84"/>
      <x:c r="J21" s="84"/>
      <x:c r="K21" s="84"/>
    </x:row>
    <x:row r="22" ht="24" customHeight="1">
      <x:c r="A22" s="113" t="str">
        <x:v>DevOps</x:v>
      </x:c>
      <x:c r="B22" s="138" t="n">
        <x:f>COUNTIF('Бэклог'!$C$2:$C$181,A22)</x:f>
        <x:v>16</x:v>
      </x:c>
      <x:c r="C22" s="84"/>
      <x:c r="D22" s="84"/>
      <x:c r="E22" s="84"/>
      <x:c r="F22" s="84"/>
      <x:c r="G22" s="84"/>
      <x:c r="H22" s="84"/>
      <x:c r="I22" s="84"/>
      <x:c r="J22" s="84"/>
      <x:c r="K22" s="84"/>
    </x:row>
    <x:row r="23" ht="24" customHeight="1">
      <x:c r="A23" s="113" t="str">
        <x:v>QA</x:v>
      </x:c>
      <x:c r="B23" s="138" t="n">
        <x:f>COUNTIF('Бэклог'!$C$2:$C$181,A23)</x:f>
        <x:v>27</x:v>
      </x:c>
      <x:c r="C23" s="84"/>
      <x:c r="D23" s="84"/>
      <x:c r="E23" s="84"/>
      <x:c r="F23" s="84"/>
      <x:c r="G23" s="84"/>
      <x:c r="H23" s="84"/>
      <x:c r="I23" s="84"/>
      <x:c r="J23" s="84"/>
      <x:c r="K23" s="84"/>
    </x:row>
    <x:row r="24" ht="24" customHeight="1">
      <x:c r="A24" s="115" t="str">
        <x:v>Итого</x:v>
      </x:c>
      <x:c r="B24" s="139" t="n">
        <x:f>SUM(B19:B23)</x:f>
        <x:v>180</x:v>
      </x:c>
      <x:c r="C24" s="84"/>
      <x:c r="D24" s="84"/>
      <x:c r="E24" s="84"/>
      <x:c r="F24" s="84"/>
      <x:c r="G24" s="84"/>
      <x:c r="H24" s="84"/>
      <x:c r="I24" s="84"/>
      <x:c r="J24" s="84"/>
      <x:c r="K24" s="84"/>
    </x:row>
    <x:row r="25" ht="24" customHeight="1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</x:row>
    <x:row r="26" ht="24" customHeight="1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</x:row>
    <x:row r="27" ht="28" customHeight="1">
      <x:c r="A27" s="174" t="str">
        <x:v>Рабочий порядок</x:v>
      </x:c>
      <x:c r="B27" s="174"/>
      <x:c r="C27" s="174"/>
      <x:c r="D27" s="174"/>
      <x:c r="E27" s="174"/>
      <x:c r="F27" s="174"/>
      <x:c r="G27" s="174"/>
      <x:c r="H27" s="174"/>
      <x:c r="I27" s="174"/>
      <x:c r="J27" s="174"/>
      <x:c r="K27" s="174"/>
    </x:row>
    <x:row r="28" ht="24" customHeight="1">
      <x:c r="A28" s="96" t="str">
        <x:v>1</x:v>
      </x:c>
      <x:c r="B28" s="110" t="str">
        <x:v>Согласовать ТЗ и бэклог, закрыть барьер G0.</x:v>
      </x:c>
      <x:c r="C28" s="111"/>
      <x:c r="D28" s="111"/>
      <x:c r="E28" s="111"/>
      <x:c r="F28" s="111"/>
      <x:c r="G28" s="111"/>
      <x:c r="H28" s="111"/>
      <x:c r="I28" s="111"/>
      <x:c r="J28" s="111"/>
      <x:c r="K28" s="112"/>
    </x:row>
    <x:row r="29" ht="24" customHeight="1">
      <x:c r="A29" s="97" t="str">
        <x:v>2</x:v>
      </x:c>
      <x:c r="B29" s="113" t="str">
        <x:v>Поднять три репозитория и общий test-стенд.</x:v>
      </x:c>
      <x:c r="C29" s="85"/>
      <x:c r="D29" s="85"/>
      <x:c r="E29" s="85"/>
      <x:c r="F29" s="85"/>
      <x:c r="G29" s="85"/>
      <x:c r="H29" s="85"/>
      <x:c r="I29" s="85"/>
      <x:c r="J29" s="85"/>
      <x:c r="K29" s="114"/>
    </x:row>
    <x:row r="30" ht="24" customHeight="1">
      <x:c r="A30" s="97" t="str">
        <x:v>3</x:v>
      </x:c>
      <x:c r="B30" s="113" t="str">
        <x:v>Завершить E02 и E03, закрыть SB-FO и SB-BO.</x:v>
      </x:c>
      <x:c r="C30" s="85"/>
      <x:c r="D30" s="85"/>
      <x:c r="E30" s="85"/>
      <x:c r="F30" s="85"/>
      <x:c r="G30" s="85"/>
      <x:c r="H30" s="85"/>
      <x:c r="I30" s="85"/>
      <x:c r="J30" s="85"/>
      <x:c r="K30" s="114"/>
    </x:row>
    <x:row r="31" ht="24" customHeight="1">
      <x:c r="A31" s="97" t="str">
        <x:v>4</x:v>
      </x:c>
      <x:c r="B31" s="113" t="str">
        <x:v>Реализовать функциональные эпики в порядке зависимостей.</x:v>
      </x:c>
      <x:c r="C31" s="85"/>
      <x:c r="D31" s="85"/>
      <x:c r="E31" s="85"/>
      <x:c r="F31" s="85"/>
      <x:c r="G31" s="85"/>
      <x:c r="H31" s="85"/>
      <x:c r="I31" s="85"/>
      <x:c r="J31" s="85"/>
      <x:c r="K31" s="114"/>
    </x:row>
    <x:row r="32" ht="24" customHeight="1">
      <x:c r="A32" s="97" t="str">
        <x:v>5</x:v>
      </x:c>
      <x:c r="B32" s="113" t="str">
        <x:v>Актуализировать код, тесты и документацию внутри каждой задачи.</x:v>
      </x:c>
      <x:c r="C32" s="85"/>
      <x:c r="D32" s="85"/>
      <x:c r="E32" s="85"/>
      <x:c r="F32" s="85"/>
      <x:c r="G32" s="85"/>
      <x:c r="H32" s="85"/>
      <x:c r="I32" s="85"/>
      <x:c r="J32" s="85"/>
      <x:c r="K32" s="114"/>
    </x:row>
    <x:row r="33" ht="24" customHeight="1">
      <x:c r="A33" s="97" t="str">
        <x:v>6</x:v>
      </x:c>
      <x:c r="B33" s="113" t="str">
        <x:v>Провести сквозную приёмку E12.</x:v>
      </x:c>
      <x:c r="C33" s="85"/>
      <x:c r="D33" s="85"/>
      <x:c r="E33" s="85"/>
      <x:c r="F33" s="85"/>
      <x:c r="G33" s="85"/>
      <x:c r="H33" s="85"/>
      <x:c r="I33" s="85"/>
      <x:c r="J33" s="85"/>
      <x:c r="K33" s="114"/>
    </x:row>
    <x:row r="34" ht="24" customHeight="1">
      <x:c r="A34" s="98" t="str">
        <x:v>7</x:v>
      </x:c>
      <x:c r="B34" s="115" t="str">
        <x:v>Зафиксировать совместимые версии и выпустить production release candidate.</x:v>
      </x:c>
      <x:c r="C34" s="116"/>
      <x:c r="D34" s="116"/>
      <x:c r="E34" s="116"/>
      <x:c r="F34" s="116"/>
      <x:c r="G34" s="116"/>
      <x:c r="H34" s="116"/>
      <x:c r="I34" s="116"/>
      <x:c r="J34" s="116"/>
      <x:c r="K34" s="117"/>
    </x:row>
  </x:sheetData>
  <x:mergeCells>
    <x:mergeCell ref="A1:K1"/>
    <x:mergeCell ref="D3:E3"/>
    <x:mergeCell ref="F3:G3"/>
    <x:mergeCell ref="H3:I3"/>
    <x:mergeCell ref="J3:K3"/>
    <x:mergeCell ref="D4:E5"/>
    <x:mergeCell ref="F4:G5"/>
    <x:mergeCell ref="H4:I5"/>
    <x:mergeCell ref="J4:K5"/>
    <x:mergeCell ref="A10:K10"/>
    <x:mergeCell ref="B11:K11"/>
    <x:mergeCell ref="B12:K12"/>
    <x:mergeCell ref="B13:K13"/>
    <x:mergeCell ref="B14:K14"/>
    <x:mergeCell ref="B15:K15"/>
    <x:mergeCell ref="B16:K16"/>
    <x:mergeCell ref="A27:K27"/>
    <x:mergeCell ref="B28:K28"/>
    <x:mergeCell ref="B29:K29"/>
    <x:mergeCell ref="B30:K30"/>
    <x:mergeCell ref="B31:K31"/>
    <x:mergeCell ref="B32:K32"/>
    <x:mergeCell ref="B33:K33"/>
    <x:mergeCell ref="B34:K34"/>
  </x:mergeCells>
  <x:pageMargins left="0.7" right="0.7" top="0.75" bottom="0.75" header="0.3" footer="0.3"/>
  <x:drawing xmlns:r="http://schemas.openxmlformats.org/officeDocument/2006/relationships" r:id="R53ecf5daf6c84ca2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42" hidden="0" customWidth="1"/>
    <x:col min="4" max="4" width="18" hidden="0" customWidth="1"/>
    <x:col min="5" max="5" width="18" hidden="0" customWidth="1"/>
    <x:col min="6" max="6" width="42" hidden="0" customWidth="1"/>
    <x:col min="7" max="7" width="45" hidden="0" customWidth="1"/>
    <x:col min="8" max="8" width="10" hidden="0" customWidth="1"/>
  </x:cols>
  <x:sheetData>
    <x:row r="1" ht="34" customHeight="1">
      <x:c r="A1" s="134" t="str">
        <x:v>ID</x:v>
      </x:c>
      <x:c r="B1" s="186" t="str">
        <x:v>Эпик</x:v>
      </x:c>
      <x:c r="C1" s="186" t="str">
        <x:v>Цель</x:v>
      </x:c>
      <x:c r="D1" s="186" t="str">
        <x:v>Фаза</x:v>
      </x:c>
      <x:c r="E1" s="186" t="str">
        <x:v>Зависимости</x:v>
      </x:c>
      <x:c r="F1" s="186" t="str">
        <x:v>Критерий входа</x:v>
      </x:c>
      <x:c r="G1" s="186" t="str">
        <x:v>Критерий выхода</x:v>
      </x:c>
      <x:c r="H1" s="135" t="str">
        <x:v>Задач</x:v>
      </x:c>
    </x:row>
    <x:row r="2" ht="72" customHeight="1">
      <x:c r="A2" s="113" t="str">
        <x:v>E01</x:v>
      </x:c>
      <x:c r="B2" s="85" t="str">
        <x:v>Фундаменты репозиториев и поставки</x:v>
      </x:c>
      <x:c r="C2" s="85" t="str">
        <x:v>Создать три автономных проекта, воспроизводимые среды и независимые pipeline.</x:v>
      </x:c>
      <x:c r="D2" s="85" t="str">
        <x:v>Фундамент</x:v>
      </x:c>
      <x:c r="E2" s="85" t="str">
        <x:v>ТЗ и бэклог</x:v>
      </x:c>
      <x:c r="F2" s="85" t="str">
        <x:v>Технологический стек и структура репозиториев зафиксированы.</x:v>
      </x:c>
      <x:c r="G2" s="85" t="str">
        <x:v>Каждый репозиторий собирается, тестируется, контейнеризуется и разворачивается в test.</x:v>
      </x:c>
      <x:c r="H2" s="188" t="n">
        <x:f>COUNTIF('Бэклог'!$B$2:$B$181,A2)</x:f>
        <x:v>20</x:v>
      </x:c>
    </x:row>
    <x:row r="3" ht="72" customHeight="1">
      <x:c r="A3" s="113" t="str">
        <x:v>E02</x:v>
      </x:c>
      <x:c r="B3" s="85" t="str">
        <x:v>Storybook front-office</x:v>
      </x:c>
      <x:c r="C3" s="85" t="str">
        <x:v>Сформировать и согласовать полный клиентский UI-каталог до интеграции бизнес-функций.</x:v>
      </x:c>
      <x:c r="D3" s="85" t="str">
        <x:v>UI до функций</x:v>
      </x:c>
      <x:c r="E3" s="85" t="str">
        <x:v>E01</x:v>
      </x:c>
      <x:c r="F3" s="85" t="str">
        <x:v>Front-office запускается и содержит тему Vuetify.</x:v>
      </x:c>
      <x:c r="G3" s="85" t="str">
        <x:v>Барьер SB-FO пройден: компоненты, композиции, состояния и проверки готовы.</x:v>
      </x:c>
      <x:c r="H3" s="188" t="n">
        <x:f>COUNTIF('Бэклог'!$B$2:$B$181,A3)</x:f>
        <x:v>20</x:v>
      </x:c>
    </x:row>
    <x:row r="4" ht="72" customHeight="1">
      <x:c r="A4" s="113" t="str">
        <x:v>E03</x:v>
      </x:c>
      <x:c r="B4" s="85" t="str">
        <x:v>Storybook back-office</x:v>
      </x:c>
      <x:c r="C4" s="85" t="str">
        <x:v>Сформировать и согласовать полный рабочий UI-каталог до интеграции бизнес-функций.</x:v>
      </x:c>
      <x:c r="D4" s="85" t="str">
        <x:v>UI до функций</x:v>
      </x:c>
      <x:c r="E4" s="85" t="str">
        <x:v>E01</x:v>
      </x:c>
      <x:c r="F4" s="85" t="str">
        <x:v>Back-office запускается и содержит тему Vuetify.</x:v>
      </x:c>
      <x:c r="G4" s="85" t="str">
        <x:v>Барьер SB-BO пройден: компоненты, композиции, состояния и проверки готовы.</x:v>
      </x:c>
      <x:c r="H4" s="188" t="n">
        <x:f>COUNTIF('Бэклог'!$B$2:$B$181,A4)</x:f>
        <x:v>21</x:v>
      </x:c>
    </x:row>
    <x:row r="5" ht="72" customHeight="1">
      <x:c r="A5" s="113" t="str">
        <x:v>E04</x:v>
      </x:c>
      <x:c r="B5" s="85" t="str">
        <x:v>Телефонная авторизация и доступ</x:v>
      </x:c>
      <x:c r="C5" s="85" t="str">
        <x:v>Реализовать OTP-вход, сессии и ролевой доступ для customer и сотрудников.</x:v>
      </x:c>
      <x:c r="D5" s="85" t="str">
        <x:v>Основные функции</x:v>
      </x:c>
      <x:c r="E5" s="85" t="str">
        <x:v>E02, E03</x:v>
      </x:c>
      <x:c r="F5" s="85" t="str">
        <x:v>SB-FO и SB-BO пройдены; контракт auth согласован.</x:v>
      </x:c>
      <x:c r="G5" s="85" t="str">
        <x:v>Авторизация и восстановление сессий проходят API и browser E2E.</x:v>
      </x:c>
      <x:c r="H5" s="188" t="n">
        <x:f>COUNTIF('Бэклог'!$B$2:$B$181,A5)</x:f>
        <x:v>17</x:v>
      </x:c>
    </x:row>
    <x:row r="6" ht="72" customHeight="1">
      <x:c r="A6" s="113" t="str">
        <x:v>E05</x:v>
      </x:c>
      <x:c r="B6" s="85" t="str">
        <x:v>Каталог и публичное меню</x:v>
      </x:c>
      <x:c r="C6" s="85" t="str">
        <x:v>Реализовать доменную модель меню, публичный API и клиентский просмотр.</x:v>
      </x:c>
      <x:c r="D6" s="85" t="str">
        <x:v>Основные функции</x:v>
      </x:c>
      <x:c r="E6" s="85" t="str">
        <x:v>E02, E03</x:v>
      </x:c>
      <x:c r="F6" s="85" t="str">
        <x:v>Storybook-экран меню согласован; схема каталога утверждена.</x:v>
      </x:c>
      <x:c r="G6" s="85" t="str">
        <x:v>Публичное меню отображает категории, товары, размеры, добавки, цены и доступность.</x:v>
      </x:c>
      <x:c r="H6" s="188" t="n">
        <x:f>COUNTIF('Бэклог'!$B$2:$B$181,A6)</x:f>
        <x:v>12</x:v>
      </x:c>
    </x:row>
    <x:row r="7" ht="72" customHeight="1">
      <x:c r="A7" s="113" t="str">
        <x:v>E06</x:v>
      </x:c>
      <x:c r="B7" s="85" t="str">
        <x:v>Управление меню</x:v>
      </x:c>
      <x:c r="C7" s="85" t="str">
        <x:v>Дать administrator полный контур управления структурой и ценами.</x:v>
      </x:c>
      <x:c r="D7" s="85" t="str">
        <x:v>Основные функции</x:v>
      </x:c>
      <x:c r="E7" s="85" t="str">
        <x:v>E03, E05</x:v>
      </x:c>
      <x:c r="F7" s="85" t="str">
        <x:v>Каталог backend готов; формы представлены в Storybook.</x:v>
      </x:c>
      <x:c r="G7" s="85" t="str">
        <x:v>Administrator ведёт категории, товары, размеры, добавки, цены и изображения.</x:v>
      </x:c>
      <x:c r="H7" s="188" t="n">
        <x:f>COUNTIF('Бэклог'!$B$2:$B$181,A7)</x:f>
        <x:v>16</x:v>
      </x:c>
    </x:row>
    <x:row r="8" ht="72" customHeight="1">
      <x:c r="A8" s="113" t="str">
        <x:v>E07</x:v>
      </x:c>
      <x:c r="B8" s="85" t="str">
        <x:v>Корзина и создание заказа</x:v>
      </x:c>
      <x:c r="C8" s="85" t="str">
        <x:v>Реализовать корзину, серверную проверку и идемпотентное оформление.</x:v>
      </x:c>
      <x:c r="D8" s="85" t="str">
        <x:v>Основные функции</x:v>
      </x:c>
      <x:c r="E8" s="85" t="str">
        <x:v>E04, E05</x:v>
      </x:c>
      <x:c r="F8" s="85" t="str">
        <x:v>Авторизация и публичное меню готовы.</x:v>
      </x:c>
      <x:c r="G8" s="85" t="str">
        <x:v>Customer создаёт заказ из валидной корзины и открывает страницу заказа.</x:v>
      </x:c>
      <x:c r="H8" s="188" t="n">
        <x:f>COUNTIF('Бэклог'!$B$2:$B$181,A8)</x:f>
        <x:v>15</x:v>
      </x:c>
    </x:row>
    <x:row r="9" ht="72" customHeight="1">
      <x:c r="A9" s="113" t="str">
        <x:v>E08</x:v>
      </x:c>
      <x:c r="B9" s="85" t="str">
        <x:v>Очередь и стадии заказа</x:v>
      </x:c>
      <x:c r="C9" s="85" t="str">
        <x:v>Реализовать рабочую очередь и последовательный процесс приготовления.</x:v>
      </x:c>
      <x:c r="D9" s="85" t="str">
        <x:v>Основные функции</x:v>
      </x:c>
      <x:c r="E9" s="85" t="str">
        <x:v>E03, E07</x:v>
      </x:c>
      <x:c r="F9" s="85" t="str">
        <x:v>Заказ создаётся; композиции очереди согласованы.</x:v>
      </x:c>
      <x:c r="G9" s="85" t="str">
        <x:v>Сотрудник проводит заказ до стадии Готов с аудитом и защитой конкуренции.</x:v>
      </x:c>
      <x:c r="H9" s="188" t="n">
        <x:f>COUNTIF('Бэклог'!$B$2:$B$181,A9)</x:f>
        <x:v>16</x:v>
      </x:c>
    </x:row>
    <x:row r="10" ht="72" customHeight="1">
      <x:c r="A10" s="113" t="str">
        <x:v>E09</x:v>
      </x:c>
      <x:c r="B10" s="85" t="str">
        <x:v>Постоплата и выдача</x:v>
      </x:c>
      <x:c r="C10" s="85" t="str">
        <x:v>Зафиксировать ручное подтверждение оплаты и контролируемую выдачу.</x:v>
      </x:c>
      <x:c r="D10" s="85" t="str">
        <x:v>Основные функции</x:v>
      </x:c>
      <x:c r="E10" s="85" t="str">
        <x:v>E08</x:v>
      </x:c>
      <x:c r="F10" s="85" t="str">
        <x:v>Заказ достигает стадии Готов.</x:v>
      </x:c>
      <x:c r="G10" s="85" t="str">
        <x:v>Оплата фиксируется сотрудником; выдача доступна после оплаты.</x:v>
      </x:c>
      <x:c r="H10" s="188" t="n">
        <x:f>COUNTIF('Бэклог'!$B$2:$B$181,A10)</x:f>
        <x:v>9</x:v>
      </x:c>
    </x:row>
    <x:row r="11" ht="72" customHeight="1">
      <x:c r="A11" s="113" t="str">
        <x:v>E10</x:v>
      </x:c>
      <x:c r="B11" s="85" t="str">
        <x:v>Текущий заказ и история</x:v>
      </x:c>
      <x:c r="C11" s="85" t="str">
        <x:v>Показать customer актуальное состояние и список прошлых заказов.</x:v>
      </x:c>
      <x:c r="D11" s="85" t="str">
        <x:v>Основные функции</x:v>
      </x:c>
      <x:c r="E11" s="85" t="str">
        <x:v>E07, E08</x:v>
      </x:c>
      <x:c r="F11" s="85" t="str">
        <x:v>Заказы и стадии доступны через API.</x:v>
      </x:c>
      <x:c r="G11" s="85" t="str">
        <x:v>Customer видит текущий заказ, обновления, историю и детали.</x:v>
      </x:c>
      <x:c r="H11" s="188" t="n">
        <x:f>COUNTIF('Бэклог'!$B$2:$B$181,A11)</x:f>
        <x:v>9</x:v>
      </x:c>
    </x:row>
    <x:row r="12" ht="72" customHeight="1">
      <x:c r="A12" s="113" t="str">
        <x:v>E11</x:v>
      </x:c>
      <x:c r="B12" s="85" t="str">
        <x:v>Оперативная доступность</x:v>
      </x:c>
      <x:c r="C12" s="85" t="str">
        <x:v>Дать сотрудникам управление продажей позиций и глобальным приёмом заказов.</x:v>
      </x:c>
      <x:c r="D12" s="85" t="str">
        <x:v>Основные функции</x:v>
      </x:c>
      <x:c r="E12" s="85" t="str">
        <x:v>E05, E06</x:v>
      </x:c>
      <x:c r="F12" s="85" t="str">
        <x:v>Каталог и back-office формы готовы.</x:v>
      </x:c>
      <x:c r="G12" s="85" t="str">
        <x:v>Доступность изменяется сразу, отражается в меню и проверяется при оформлении.</x:v>
      </x:c>
      <x:c r="H12" s="188" t="n">
        <x:f>COUNTIF('Бэклог'!$B$2:$B$181,A12)</x:f>
        <x:v>10</x:v>
      </x:c>
    </x:row>
    <x:row r="13" ht="72" customHeight="1">
      <x:c r="A13" s="115" t="str">
        <x:v>E12</x:v>
      </x:c>
      <x:c r="B13" s="116" t="str">
        <x:v>Приёмка и выпуск</x:v>
      </x:c>
      <x:c r="C13" s="116" t="str">
        <x:v>Подтвердить безопасность, качество, полный E2E и эксплуатационную готовность.</x:v>
      </x:c>
      <x:c r="D13" s="116" t="str">
        <x:v>Выпуск</x:v>
      </x:c>
      <x:c r="E13" s="116" t="str">
        <x:v>E04–E11</x:v>
      </x:c>
      <x:c r="F13" s="116" t="str">
        <x:v>Все функциональные эпики достигли критериев выхода.</x:v>
      </x:c>
      <x:c r="G13" s="116" t="str">
        <x:v>Release candidate проходит smoke, E2E, восстановление и приёмку MVP.</x:v>
      </x:c>
      <x:c r="H13" s="189" t="n">
        <x:f>COUNTIF('Бэклог'!$B$2:$B$181,A13)</x:f>
        <x:v>15</x:v>
      </x:c>
    </x:row>
  </x:sheetData>
  <x:conditionalFormatting sqref="D2:D13">
    <x:cfRule type="expression" dxfId="12" priority="1">
      <x:formula>$D2="Фундамент"</x:formula>
    </x:cfRule>
    <x:cfRule type="expression" dxfId="13" priority="2">
      <x:formula>$D2="UI до функций"</x:formula>
    </x:cfRule>
    <x:cfRule type="expression" dxfId="14" priority="3">
      <x:formula>$D2="Основные функции"</x:formula>
    </x:cfRule>
    <x:cfRule type="expression" dxfId="15" priority="4">
      <x:formula>$D2="Выпуск"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1d6c909cee40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15" hidden="0" customWidth="1"/>
    <x:col min="4" max="4" width="38" hidden="0" customWidth="1"/>
    <x:col min="5" max="5" width="42" hidden="0" customWidth="1"/>
    <x:col min="6" max="6" width="56" hidden="0" customWidth="1"/>
    <x:col min="7" max="7" width="28" hidden="0" customWidth="1"/>
    <x:col min="8" max="8" width="30" hidden="0" customWidth="1"/>
    <x:col min="9" max="9" width="25" hidden="0" customWidth="1"/>
    <x:col min="10" max="10" width="9" hidden="0" customWidth="1"/>
    <x:col min="11" max="11" width="11" hidden="0" customWidth="1"/>
    <x:col min="12" max="12" width="16" hidden="0" customWidth="1"/>
  </x:cols>
  <x:sheetData>
    <x:row r="1" ht="36" customHeight="1">
      <x:c r="A1" s="134" t="str">
        <x:v>ID</x:v>
      </x:c>
      <x:c r="B1" s="186" t="str">
        <x:v>Эпик</x:v>
      </x:c>
      <x:c r="C1" s="186" t="str">
        <x:v>Контур</x:v>
      </x:c>
      <x:c r="D1" s="186" t="str">
        <x:v>Задача</x:v>
      </x:c>
      <x:c r="E1" s="186" t="str">
        <x:v>Результат</x:v>
      </x:c>
      <x:c r="F1" s="186" t="str">
        <x:v>Критерии приёмки</x:v>
      </x:c>
      <x:c r="G1" s="186" t="str">
        <x:v>Зависимости</x:v>
      </x:c>
      <x:c r="H1" s="186" t="str">
        <x:v>Требования</x:v>
      </x:c>
      <x:c r="I1" s="186" t="str">
        <x:v>Документация в DoD</x:v>
      </x:c>
      <x:c r="J1" s="186" t="str">
        <x:v>Размер</x:v>
      </x:c>
      <x:c r="K1" s="186" t="str">
        <x:v>Приоритет</x:v>
      </x:c>
      <x:c r="L1" s="135" t="str">
        <x:v>Статус</x:v>
      </x:c>
    </x:row>
    <x:row r="2" ht="66" customHeight="1">
      <x:c r="A2" s="192" t="str">
        <x:v>E01-BE-01</x:v>
      </x:c>
      <x:c r="B2" s="193" t="str">
        <x:v>E01</x:v>
      </x:c>
      <x:c r="C2" s="193" t="str">
        <x:v>Backend</x:v>
      </x:c>
      <x:c r="D2" s="85" t="str">
        <x:v>Инициализировать backend на NestJS и npm</x:v>
      </x:c>
      <x:c r="E2" s="85" t="str">
        <x:v>Репозиторий запускается локально одной документированной командой.</x:v>
      </x:c>
      <x:c r="F2" s="85" t="str">
        <x:v>package-lock фиксирован; Node LTS закреплён; lint, typecheck, test и build доступны через npm scripts.</x:v>
      </x:c>
      <x:c r="G2" s="85" t="str"/>
      <x:c r="H2" s="85" t="str">
        <x:v>TR-REP-001</x:v>
      </x:c>
      <x:c r="I2" s="85" t="str">
        <x:v>README, local-development</x:v>
      </x:c>
      <x:c r="J2" s="200" t="str">
        <x:v>S</x:v>
      </x:c>
      <x:c r="K2" s="200" t="str">
        <x:v>Must</x:v>
      </x:c>
      <x:c r="L2" s="188" t="str">
        <x:v>Запланировано</x:v>
      </x:c>
    </x:row>
    <x:row r="3" ht="66" customHeight="1">
      <x:c r="A3" s="192" t="str">
        <x:v>E01-BE-02</x:v>
      </x:c>
      <x:c r="B3" s="193" t="str">
        <x:v>E01</x:v>
      </x:c>
      <x:c r="C3" s="193" t="str">
        <x:v>Backend</x:v>
      </x:c>
      <x:c r="D3" s="85" t="str">
        <x:v>Настроить конфигурацию и проверку окружения</x:v>
      </x:c>
      <x:c r="E3" s="85" t="str">
        <x:v>Backend завершает запуск только с корректным набором параметров.</x:v>
      </x:c>
      <x:c r="F3" s="85" t="str">
        <x:v>Переменные типизированы; секреты отделены; ошибки конфигурации содержат имя параметра.</x:v>
      </x:c>
      <x:c r="G3" s="85" t="str">
        <x:v>E01-BE-01</x:v>
      </x:c>
      <x:c r="H3" s="85" t="str">
        <x:v>Q-OPS-001</x:v>
      </x:c>
      <x:c r="I3" s="85" t="str">
        <x:v>configuration, .env.example</x:v>
      </x:c>
      <x:c r="J3" s="200" t="str">
        <x:v>M</x:v>
      </x:c>
      <x:c r="K3" s="200" t="str">
        <x:v>Must</x:v>
      </x:c>
      <x:c r="L3" s="188" t="str">
        <x:v>Запланировано</x:v>
      </x:c>
    </x:row>
    <x:row r="4" ht="66" customHeight="1">
      <x:c r="A4" s="192" t="str">
        <x:v>E01-BE-03</x:v>
      </x:c>
      <x:c r="B4" s="193" t="str">
        <x:v>E01</x:v>
      </x:c>
      <x:c r="C4" s="193" t="str">
        <x:v>Backend</x:v>
      </x:c>
      <x:c r="D4" s="85" t="str">
        <x:v>Подключить PostgreSQL и базовую миграцию</x:v>
      </x:c>
      <x:c r="E4" s="85" t="str">
        <x:v>Приложение работает с PostgreSQL через ORM и управляемые миграции.</x:v>
      </x:c>
      <x:c r="F4" s="85" t="str">
        <x:v>Чистая база разворачивается миграциями; rollback-процедура описана; тестовая БД создаётся автоматически.</x:v>
      </x:c>
      <x:c r="G4" s="85" t="str">
        <x:v>E01-BE-01</x:v>
      </x:c>
      <x:c r="H4" s="85" t="str">
        <x:v>TR-DATA-001</x:v>
      </x:c>
      <x:c r="I4" s="85" t="str">
        <x:v>architecture, deployment</x:v>
      </x:c>
      <x:c r="J4" s="200" t="str">
        <x:v>M</x:v>
      </x:c>
      <x:c r="K4" s="200" t="str">
        <x:v>Must</x:v>
      </x:c>
      <x:c r="L4" s="188" t="str">
        <x:v>Запланировано</x:v>
      </x:c>
    </x:row>
    <x:row r="5" ht="66" customHeight="1">
      <x:c r="A5" s="192" t="str">
        <x:v>E01-BE-04</x:v>
      </x:c>
      <x:c r="B5" s="193" t="str">
        <x:v>E01</x:v>
      </x:c>
      <x:c r="C5" s="193" t="str">
        <x:v>Backend</x:v>
      </x:c>
      <x:c r="D5" s="85" t="str">
        <x:v>Ввести версию API и OpenAPI-генерацию</x:v>
      </x:c>
      <x:c r="E5" s="85" t="str">
        <x:v>Backend публикует контракт `/api/v1`.</x:v>
      </x:c>
      <x:c r="F5" s="85" t="str">
        <x:v>OpenAPI создаётся командой npm; файл проверяется в CI; единый формат ошибок отражён в схеме.</x:v>
      </x:c>
      <x:c r="G5" s="85" t="str">
        <x:v>E01-BE-01</x:v>
      </x:c>
      <x:c r="H5" s="85" t="str">
        <x:v>TR-API-001</x:v>
      </x:c>
      <x:c r="I5" s="85" t="str">
        <x:v>architecture, API contract</x:v>
      </x:c>
      <x:c r="J5" s="200" t="str">
        <x:v>M</x:v>
      </x:c>
      <x:c r="K5" s="200" t="str">
        <x:v>Must</x:v>
      </x:c>
      <x:c r="L5" s="188" t="str">
        <x:v>Запланировано</x:v>
      </x:c>
    </x:row>
    <x:row r="6" ht="66" customHeight="1">
      <x:c r="A6" s="192" t="str">
        <x:v>E01-BE-05</x:v>
      </x:c>
      <x:c r="B6" s="193" t="str">
        <x:v>E01</x:v>
      </x:c>
      <x:c r="C6" s="193" t="str">
        <x:v>Backend</x:v>
      </x:c>
      <x:c r="D6" s="85" t="str">
        <x:v>Добавить request ID, структурированные журналы и health endpoints</x:v>
      </x:c>
      <x:c r="E6" s="85" t="str">
        <x:v>Каждый запрос трассируется, инфраструктура получает liveness и readiness.</x:v>
      </x:c>
      <x:c r="F6" s="85" t="str">
        <x:v>requestId возвращается в ошибках; журналы имеют JSON-формат; readiness проверяет базу.</x:v>
      </x:c>
      <x:c r="G6" s="85" t="str">
        <x:v>E01-BE-02,E01-BE-03</x:v>
      </x:c>
      <x:c r="H6" s="85" t="str">
        <x:v>Q-OBS</x:v>
      </x:c>
      <x:c r="I6" s="85" t="str">
        <x:v>architecture, deployment</x:v>
      </x:c>
      <x:c r="J6" s="200" t="str">
        <x:v>M</x:v>
      </x:c>
      <x:c r="K6" s="200" t="str">
        <x:v>Must</x:v>
      </x:c>
      <x:c r="L6" s="188" t="str">
        <x:v>Запланировано</x:v>
      </x:c>
    </x:row>
    <x:row r="7" ht="66" customHeight="1">
      <x:c r="A7" s="192" t="str">
        <x:v>E01-BE-06</x:v>
      </x:c>
      <x:c r="B7" s="193" t="str">
        <x:v>E01</x:v>
      </x:c>
      <x:c r="C7" s="193" t="str">
        <x:v>Backend</x:v>
      </x:c>
      <x:c r="D7" s="85" t="str">
        <x:v>Создать базовый seed и эксплуатационный CLI пользователей</x:v>
      </x:c>
      <x:c r="E7" s="85" t="str">
        <x:v>Среда получает администратора и тестовые учётные записи управляемым способом.</x:v>
      </x:c>
      <x:c r="F7" s="85" t="str">
        <x:v>BOOTSTRAP_ADMIN_PHONE идемпотентен; CLI поддерживает upsert роли; команды работают в контейнере.</x:v>
      </x:c>
      <x:c r="G7" s="85" t="str">
        <x:v>E01-BE-03</x:v>
      </x:c>
      <x:c r="H7" s="85" t="str">
        <x:v>FR-AUTH-010</x:v>
      </x:c>
      <x:c r="I7" s="85" t="str">
        <x:v>README, deployment</x:v>
      </x:c>
      <x:c r="J7" s="200" t="str">
        <x:v>M</x:v>
      </x:c>
      <x:c r="K7" s="200" t="str">
        <x:v>Must</x:v>
      </x:c>
      <x:c r="L7" s="188" t="str">
        <x:v>Запланировано</x:v>
      </x:c>
    </x:row>
    <x:row r="8" ht="66" customHeight="1">
      <x:c r="A8" s="192" t="str">
        <x:v>E01-FO-01</x:v>
      </x:c>
      <x:c r="B8" s="193" t="str">
        <x:v>E01</x:v>
      </x:c>
      <x:c r="C8" s="193" t="str">
        <x:v>Front-office</x:v>
      </x:c>
      <x:c r="D8" s="85" t="str">
        <x:v>Инициализировать front-office на Vue 3, Vuetify, Vite и npm</x:v>
      </x:c>
      <x:c r="E8" s="85" t="str">
        <x:v>Клиентский репозиторий запускается и собирается автономно.</x:v>
      </x:c>
      <x:c r="F8" s="85" t="str">
        <x:v>package-lock фиксирован; Node LTS закреплён; lint, typecheck, test и build работают.</x:v>
      </x:c>
      <x:c r="G8" s="85" t="str"/>
      <x:c r="H8" s="85" t="str">
        <x:v>TR-REP-002</x:v>
      </x:c>
      <x:c r="I8" s="85" t="str">
        <x:v>README, local-development</x:v>
      </x:c>
      <x:c r="J8" s="200" t="str">
        <x:v>S</x:v>
      </x:c>
      <x:c r="K8" s="200" t="str">
        <x:v>Must</x:v>
      </x:c>
      <x:c r="L8" s="188" t="str">
        <x:v>Запланировано</x:v>
      </x:c>
    </x:row>
    <x:row r="9" ht="66" customHeight="1">
      <x:c r="A9" s="192" t="str">
        <x:v>E01-FO-02</x:v>
      </x:c>
      <x:c r="B9" s="193" t="str">
        <x:v>E01</x:v>
      </x:c>
      <x:c r="C9" s="193" t="str">
        <x:v>Front-office</x:v>
      </x:c>
      <x:c r="D9" s="85" t="str">
        <x:v>Создать каркас приложения front-office</x:v>
      </x:c>
      <x:c r="E9" s="85" t="str">
        <x:v>Готовы маршрутизация, Pinia, API-слой, обработка ошибок и конфигурация окружения.</x:v>
      </x:c>
      <x:c r="F9" s="85" t="str">
        <x:v>Приложение открывает базовый shell; API base URL задаётся окружением; глобальные ошибки отображаются.</x:v>
      </x:c>
      <x:c r="G9" s="85" t="str">
        <x:v>E01-FO-01</x:v>
      </x:c>
      <x:c r="H9" s="85" t="str">
        <x:v>TR-FO-001</x:v>
      </x:c>
      <x:c r="I9" s="85" t="str">
        <x:v>architecture, configuration</x:v>
      </x:c>
      <x:c r="J9" s="200" t="str">
        <x:v>M</x:v>
      </x:c>
      <x:c r="K9" s="200" t="str">
        <x:v>Must</x:v>
      </x:c>
      <x:c r="L9" s="188" t="str">
        <x:v>Запланировано</x:v>
      </x:c>
    </x:row>
    <x:row r="10" ht="66" customHeight="1">
      <x:c r="A10" s="192" t="str">
        <x:v>E01-BO-01</x:v>
      </x:c>
      <x:c r="B10" s="193" t="str">
        <x:v>E01</x:v>
      </x:c>
      <x:c r="C10" s="193" t="str">
        <x:v>Back-office</x:v>
      </x:c>
      <x:c r="D10" s="85" t="str">
        <x:v>Инициализировать back-office на Vue 3, Vuetify, Vite и npm</x:v>
      </x:c>
      <x:c r="E10" s="85" t="str">
        <x:v>Рабочий репозиторий запускается и собирается автономно.</x:v>
      </x:c>
      <x:c r="F10" s="85" t="str">
        <x:v>package-lock фиксирован; Node LTS закреплён; lint, typecheck, test и build работают.</x:v>
      </x:c>
      <x:c r="G10" s="85" t="str"/>
      <x:c r="H10" s="85" t="str">
        <x:v>TR-REP-003</x:v>
      </x:c>
      <x:c r="I10" s="85" t="str">
        <x:v>README, local-development</x:v>
      </x:c>
      <x:c r="J10" s="200" t="str">
        <x:v>S</x:v>
      </x:c>
      <x:c r="K10" s="200" t="str">
        <x:v>Must</x:v>
      </x:c>
      <x:c r="L10" s="188" t="str">
        <x:v>Запланировано</x:v>
      </x:c>
    </x:row>
    <x:row r="11" ht="66" customHeight="1">
      <x:c r="A11" s="192" t="str">
        <x:v>E01-BO-02</x:v>
      </x:c>
      <x:c r="B11" s="193" t="str">
        <x:v>E01</x:v>
      </x:c>
      <x:c r="C11" s="193" t="str">
        <x:v>Back-office</x:v>
      </x:c>
      <x:c r="D11" s="85" t="str">
        <x:v>Создать каркас приложения back-office</x:v>
      </x:c>
      <x:c r="E11" s="85" t="str">
        <x:v>Готовы маршрутизация, Pinia, API-слой, layout и конфигурация окружения.</x:v>
      </x:c>
      <x:c r="F11" s="85" t="str">
        <x:v>Приложение открывает рабочий shell; API base URL задаётся окружением; навигация поддерживает права.</x:v>
      </x:c>
      <x:c r="G11" s="85" t="str">
        <x:v>E01-BO-01</x:v>
      </x:c>
      <x:c r="H11" s="85" t="str">
        <x:v>TR-BO-001</x:v>
      </x:c>
      <x:c r="I11" s="85" t="str">
        <x:v>architecture, configuration</x:v>
      </x:c>
      <x:c r="J11" s="200" t="str">
        <x:v>M</x:v>
      </x:c>
      <x:c r="K11" s="200" t="str">
        <x:v>Must</x:v>
      </x:c>
      <x:c r="L11" s="188" t="str">
        <x:v>Запланировано</x:v>
      </x:c>
    </x:row>
    <x:row r="12" ht="66" customHeight="1">
      <x:c r="A12" s="192" t="str">
        <x:v>E01-DO-01</x:v>
      </x:c>
      <x:c r="B12" s="193" t="str">
        <x:v>E01</x:v>
      </x:c>
      <x:c r="C12" s="193" t="str">
        <x:v>DevOps</x:v>
      </x:c>
      <x:c r="D12" s="85" t="str">
        <x:v>Создать production Dockerfile backend</x:v>
      </x:c>
      <x:c r="E12" s="85" t="str">
        <x:v>Backend собирается в минимальный воспроизводимый образ.</x:v>
      </x:c>
      <x:c r="F12" s="85" t="str">
        <x:v>Сборка использует npm ci; процесс запускается от служебного пользователя; healthcheck настроен.</x:v>
      </x:c>
      <x:c r="G12" s="85" t="str">
        <x:v>E01-BE-01</x:v>
      </x:c>
      <x:c r="H12" s="85" t="str">
        <x:v>Q-OPS-002</x:v>
      </x:c>
      <x:c r="I12" s="85" t="str">
        <x:v>deployment</x:v>
      </x:c>
      <x:c r="J12" s="200" t="str">
        <x:v>M</x:v>
      </x:c>
      <x:c r="K12" s="200" t="str">
        <x:v>Must</x:v>
      </x:c>
      <x:c r="L12" s="188" t="str">
        <x:v>Запланировано</x:v>
      </x:c>
    </x:row>
    <x:row r="13" ht="66" customHeight="1">
      <x:c r="A13" s="192" t="str">
        <x:v>E01-DO-02</x:v>
      </x:c>
      <x:c r="B13" s="193" t="str">
        <x:v>E01</x:v>
      </x:c>
      <x:c r="C13" s="193" t="str">
        <x:v>DevOps</x:v>
      </x:c>
      <x:c r="D13" s="85" t="str">
        <x:v>Создать production Dockerfile front-office</x:v>
      </x:c>
      <x:c r="E13" s="85" t="str">
        <x:v>Front-office поставляется статическим контейнером.</x:v>
      </x:c>
      <x:c r="F13" s="85" t="str">
        <x:v>Build выполняется через npm ci; сервер отдаёт SPA routes; cache headers заданы.</x:v>
      </x:c>
      <x:c r="G13" s="85" t="str">
        <x:v>E01-FO-01</x:v>
      </x:c>
      <x:c r="H13" s="85" t="str">
        <x:v>Q-OPS-002</x:v>
      </x:c>
      <x:c r="I13" s="85" t="str">
        <x:v>deployment</x:v>
      </x:c>
      <x:c r="J13" s="200" t="str">
        <x:v>M</x:v>
      </x:c>
      <x:c r="K13" s="200" t="str">
        <x:v>Must</x:v>
      </x:c>
      <x:c r="L13" s="188" t="str">
        <x:v>Запланировано</x:v>
      </x:c>
    </x:row>
    <x:row r="14" ht="66" customHeight="1">
      <x:c r="A14" s="192" t="str">
        <x:v>E01-DO-03</x:v>
      </x:c>
      <x:c r="B14" s="193" t="str">
        <x:v>E01</x:v>
      </x:c>
      <x:c r="C14" s="193" t="str">
        <x:v>DevOps</x:v>
      </x:c>
      <x:c r="D14" s="85" t="str">
        <x:v>Создать production Dockerfile back-office</x:v>
      </x:c>
      <x:c r="E14" s="85" t="str">
        <x:v>Back-office поставляется статическим контейнером.</x:v>
      </x:c>
      <x:c r="F14" s="85" t="str">
        <x:v>Build выполняется через npm ci; сервер отдаёт SPA routes; cache headers заданы.</x:v>
      </x:c>
      <x:c r="G14" s="85" t="str">
        <x:v>E01-BO-01</x:v>
      </x:c>
      <x:c r="H14" s="85" t="str">
        <x:v>Q-OPS-002</x:v>
      </x:c>
      <x:c r="I14" s="85" t="str">
        <x:v>deployment</x:v>
      </x:c>
      <x:c r="J14" s="200" t="str">
        <x:v>M</x:v>
      </x:c>
      <x:c r="K14" s="200" t="str">
        <x:v>Must</x:v>
      </x:c>
      <x:c r="L14" s="188" t="str">
        <x:v>Запланировано</x:v>
      </x:c>
    </x:row>
    <x:row r="15" ht="66" customHeight="1">
      <x:c r="A15" s="192" t="str">
        <x:v>E01-DO-04</x:v>
      </x:c>
      <x:c r="B15" s="193" t="str">
        <x:v>E01</x:v>
      </x:c>
      <x:c r="C15" s="193" t="str">
        <x:v>DevOps</x:v>
      </x:c>
      <x:c r="D15" s="85" t="str">
        <x:v>Описать local, test и production окружения</x:v>
      </x:c>
      <x:c r="E15" s="85" t="str">
        <x:v>Конфигурация сред воспроизводима и разделена.</x:v>
      </x:c>
      <x:c r="F15" s="85" t="str">
        <x:v>Переменные сгруппированы; test использует отдельную БД; адреса трёх приложений зафиксированы.</x:v>
      </x:c>
      <x:c r="G15" s="85" t="str">
        <x:v>E01-BE-02,E01-FO-02,E01-BO-02</x:v>
      </x:c>
      <x:c r="H15" s="85" t="str">
        <x:v>Q-OPS-003</x:v>
      </x:c>
      <x:c r="I15" s="85" t="str">
        <x:v>configuration, deployment</x:v>
      </x:c>
      <x:c r="J15" s="200" t="str">
        <x:v>M</x:v>
      </x:c>
      <x:c r="K15" s="200" t="str">
        <x:v>Must</x:v>
      </x:c>
      <x:c r="L15" s="188" t="str">
        <x:v>Запланировано</x:v>
      </x:c>
    </x:row>
    <x:row r="16" ht="66" customHeight="1">
      <x:c r="A16" s="192" t="str">
        <x:v>E01-DO-05</x:v>
      </x:c>
      <x:c r="B16" s="193" t="str">
        <x:v>E01</x:v>
      </x:c>
      <x:c r="C16" s="193" t="str">
        <x:v>DevOps</x:v>
      </x:c>
      <x:c r="D16" s="85" t="str">
        <x:v>Настроить CI backend</x:v>
      </x:c>
      <x:c r="E16" s="85" t="str">
        <x:v>Каждый pull request backend проходит обязательные проверки.</x:v>
      </x:c>
      <x:c r="F16" s="85" t="str">
        <x:v>npm ci, lint, typecheck, unit, integration, OpenAPI check и build обязательны для merge.</x:v>
      </x:c>
      <x:c r="G16" s="85" t="str">
        <x:v>E01-BE-01,E01-BE-03,E01-BE-04</x:v>
      </x:c>
      <x:c r="H16" s="85" t="str">
        <x:v>Q-CI-001</x:v>
      </x:c>
      <x:c r="I16" s="85" t="str">
        <x:v>testing, deployment</x:v>
      </x:c>
      <x:c r="J16" s="200" t="str">
        <x:v>M</x:v>
      </x:c>
      <x:c r="K16" s="200" t="str">
        <x:v>Must</x:v>
      </x:c>
      <x:c r="L16" s="188" t="str">
        <x:v>Запланировано</x:v>
      </x:c>
    </x:row>
    <x:row r="17" ht="66" customHeight="1">
      <x:c r="A17" s="192" t="str">
        <x:v>E01-DO-06</x:v>
      </x:c>
      <x:c r="B17" s="193" t="str">
        <x:v>E01</x:v>
      </x:c>
      <x:c r="C17" s="193" t="str">
        <x:v>DevOps</x:v>
      </x:c>
      <x:c r="D17" s="85" t="str">
        <x:v>Настроить CI front-office</x:v>
      </x:c>
      <x:c r="E17" s="85" t="str">
        <x:v>Каждый pull request front-office проходит обязательные проверки.</x:v>
      </x:c>
      <x:c r="F17" s="85" t="str">
        <x:v>npm ci, lint, typecheck, unit и build обязательны; Storybook-проверки подключаются в E02.</x:v>
      </x:c>
      <x:c r="G17" s="85" t="str">
        <x:v>E01-FO-01</x:v>
      </x:c>
      <x:c r="H17" s="85" t="str">
        <x:v>Q-CI-002</x:v>
      </x:c>
      <x:c r="I17" s="85" t="str">
        <x:v>testing, deployment</x:v>
      </x:c>
      <x:c r="J17" s="200" t="str">
        <x:v>M</x:v>
      </x:c>
      <x:c r="K17" s="200" t="str">
        <x:v>Must</x:v>
      </x:c>
      <x:c r="L17" s="188" t="str">
        <x:v>Запланировано</x:v>
      </x:c>
    </x:row>
    <x:row r="18" ht="66" customHeight="1">
      <x:c r="A18" s="192" t="str">
        <x:v>E01-DO-07</x:v>
      </x:c>
      <x:c r="B18" s="193" t="str">
        <x:v>E01</x:v>
      </x:c>
      <x:c r="C18" s="193" t="str">
        <x:v>DevOps</x:v>
      </x:c>
      <x:c r="D18" s="85" t="str">
        <x:v>Настроить CI back-office</x:v>
      </x:c>
      <x:c r="E18" s="85" t="str">
        <x:v>Каждый pull request back-office проходит обязательные проверки.</x:v>
      </x:c>
      <x:c r="F18" s="85" t="str">
        <x:v>npm ci, lint, typecheck, unit и build обязательны; Storybook-проверки подключаются в E03.</x:v>
      </x:c>
      <x:c r="G18" s="85" t="str">
        <x:v>E01-BO-01</x:v>
      </x:c>
      <x:c r="H18" s="85" t="str">
        <x:v>Q-CI-003</x:v>
      </x:c>
      <x:c r="I18" s="85" t="str">
        <x:v>testing, deployment</x:v>
      </x:c>
      <x:c r="J18" s="200" t="str">
        <x:v>M</x:v>
      </x:c>
      <x:c r="K18" s="200" t="str">
        <x:v>Must</x:v>
      </x:c>
      <x:c r="L18" s="188" t="str">
        <x:v>Запланировано</x:v>
      </x:c>
    </x:row>
    <x:row r="19" ht="66" customHeight="1">
      <x:c r="A19" s="192" t="str">
        <x:v>E01-DO-08</x:v>
      </x:c>
      <x:c r="B19" s="193" t="str">
        <x:v>E01</x:v>
      </x:c>
      <x:c r="C19" s="193" t="str">
        <x:v>DevOps</x:v>
      </x:c>
      <x:c r="D19" s="85" t="str">
        <x:v>Настроить автономное развёртывание test</x:v>
      </x:c>
      <x:c r="E19" s="85" t="str">
        <x:v>Каждый репозиторий обновляет собственный сервис test-среды.</x:v>
      </x:c>
      <x:c r="F19" s="85" t="str">
        <x:v>Деплой использует отдельный образ; миграции запускает backend; health-check блокирует успешный статус при ошибке.</x:v>
      </x:c>
      <x:c r="G19" s="85" t="str">
        <x:v>E01-DO-01,E01-DO-02,E01-DO-03,E01-DO-04</x:v>
      </x:c>
      <x:c r="H19" s="85" t="str">
        <x:v>Q-OPS-004</x:v>
      </x:c>
      <x:c r="I19" s="85" t="str">
        <x:v>deployment</x:v>
      </x:c>
      <x:c r="J19" s="200" t="str">
        <x:v>L</x:v>
      </x:c>
      <x:c r="K19" s="200" t="str">
        <x:v>Must</x:v>
      </x:c>
      <x:c r="L19" s="188" t="str">
        <x:v>Запланировано</x:v>
      </x:c>
    </x:row>
    <x:row r="20" ht="66" customHeight="1">
      <x:c r="A20" s="192" t="str">
        <x:v>E01-DO-09</x:v>
      </x:c>
      <x:c r="B20" s="193" t="str">
        <x:v>E01</x:v>
      </x:c>
      <x:c r="C20" s="193" t="str">
        <x:v>DevOps</x:v>
      </x:c>
      <x:c r="D20" s="85" t="str">
        <x:v>Настроить релизный pipeline production</x:v>
      </x:c>
      <x:c r="E20" s="85" t="str">
        <x:v>Тегированный выпуск продвигает проверенный образ в production.</x:v>
      </x:c>
      <x:c r="F20" s="85" t="str">
        <x:v>Версия образа фиксируется; секреты берутся из CI; предусмотрен возврат к прошлому образу.</x:v>
      </x:c>
      <x:c r="G20" s="85" t="str">
        <x:v>E01-DO-08</x:v>
      </x:c>
      <x:c r="H20" s="85" t="str">
        <x:v>Q-OPS-005</x:v>
      </x:c>
      <x:c r="I20" s="85" t="str">
        <x:v>deployment</x:v>
      </x:c>
      <x:c r="J20" s="200" t="str">
        <x:v>L</x:v>
      </x:c>
      <x:c r="K20" s="200" t="str">
        <x:v>Must</x:v>
      </x:c>
      <x:c r="L20" s="188" t="str">
        <x:v>Запланировано</x:v>
      </x:c>
    </x:row>
    <x:row r="21" ht="66" customHeight="1">
      <x:c r="A21" s="192" t="str">
        <x:v>E01-QA-01</x:v>
      </x:c>
      <x:c r="B21" s="193" t="str">
        <x:v>E01</x:v>
      </x:c>
      <x:c r="C21" s="193" t="str">
        <x:v>QA</x:v>
      </x:c>
      <x:c r="D21" s="85" t="str">
        <x:v>Проверить воспроизводимость трёх репозиториев</x:v>
      </x:c>
      <x:c r="E21" s="85" t="str">
        <x:v>Базовый инженерный контур подтверждён на чистой машине.</x:v>
      </x:c>
      <x:c r="F21" s="85" t="str">
        <x:v>Клонирование, npm ci, test, build и Docker build проходят по документации для каждого репозитория.</x:v>
      </x:c>
      <x:c r="G21" s="85" t="str">
        <x:v>E01-DO-05,E01-DO-06,E01-DO-07</x:v>
      </x:c>
      <x:c r="H21" s="85" t="str">
        <x:v>TR-REP-001,TR-REP-002,TR-REP-003,Q-CI-001,Q-CI-002,Q-CI-003</x:v>
      </x:c>
      <x:c r="I21" s="85" t="str">
        <x:v>testing</x:v>
      </x:c>
      <x:c r="J21" s="200" t="str">
        <x:v>M</x:v>
      </x:c>
      <x:c r="K21" s="200" t="str">
        <x:v>Must</x:v>
      </x:c>
      <x:c r="L21" s="188" t="str">
        <x:v>Запланировано</x:v>
      </x:c>
    </x:row>
    <x:row r="22" ht="66" customHeight="1">
      <x:c r="A22" s="192" t="str">
        <x:v>E02-FO-01</x:v>
      </x:c>
      <x:c r="B22" s="193" t="str">
        <x:v>E02</x:v>
      </x:c>
      <x:c r="C22" s="193" t="str">
        <x:v>Front-office</x:v>
      </x:c>
      <x:c r="D22" s="85" t="str">
        <x:v>Подключить Storybook front-office</x:v>
      </x:c>
      <x:c r="E22" s="85" t="str">
        <x:v>Storybook запускается локально и собирается статически.</x:v>
      </x:c>
      <x:c r="F22" s="85" t="str">
        <x:v>Тема Vuetify, router и Pinia доступны в decorators; mock API подключён; build работает в CI.</x:v>
      </x:c>
      <x:c r="G22" s="85" t="str">
        <x:v>E01-FO-02</x:v>
      </x:c>
      <x:c r="H22" s="85" t="str">
        <x:v>TR-SB-FO-001</x:v>
      </x:c>
      <x:c r="I22" s="85" t="str">
        <x:v>README, testing</x:v>
      </x:c>
      <x:c r="J22" s="200" t="str">
        <x:v>M</x:v>
      </x:c>
      <x:c r="K22" s="200" t="str">
        <x:v>Must</x:v>
      </x:c>
      <x:c r="L22" s="188" t="str">
        <x:v>Запланировано</x:v>
      </x:c>
    </x:row>
    <x:row r="23" ht="66" customHeight="1">
      <x:c r="A23" s="192" t="str">
        <x:v>E02-FO-02</x:v>
      </x:c>
      <x:c r="B23" s="193" t="str">
        <x:v>E02</x:v>
      </x:c>
      <x:c r="C23" s="193" t="str">
        <x:v>Front-office</x:v>
      </x:c>
      <x:c r="D23" s="85" t="str">
        <x:v>Зафиксировать визуальные foundations front-office</x:v>
      </x:c>
      <x:c r="E23" s="85" t="str">
        <x:v>Определены токены цвета, типографики, отступов, радиусов, теней и сетки.</x:v>
      </x:c>
      <x:c r="F23" s="85" t="str">
        <x:v>Токены представлены stories; мобильные размеры проверены; тема используется компонентами.</x:v>
      </x:c>
      <x:c r="G23" s="85" t="str">
        <x:v>E02-FO-01</x:v>
      </x:c>
      <x:c r="H23" s="85" t="str">
        <x:v>TR-SB-FO-002</x:v>
      </x:c>
      <x:c r="I23" s="85" t="str">
        <x:v>architecture, Storybook</x:v>
      </x:c>
      <x:c r="J23" s="200" t="str">
        <x:v>M</x:v>
      </x:c>
      <x:c r="K23" s="200" t="str">
        <x:v>Must</x:v>
      </x:c>
      <x:c r="L23" s="188" t="str">
        <x:v>Запланировано</x:v>
      </x:c>
    </x:row>
    <x:row r="24" ht="66" customHeight="1">
      <x:c r="A24" s="192" t="str">
        <x:v>E02-FO-03</x:v>
      </x:c>
      <x:c r="B24" s="193" t="str">
        <x:v>E02</x:v>
      </x:c>
      <x:c r="C24" s="193" t="str">
        <x:v>Front-office</x:v>
      </x:c>
      <x:c r="D24" s="85" t="str">
        <x:v>Создать базовые кнопки и интерактивные элементы</x:v>
      </x:c>
      <x:c r="E24" s="85" t="str">
        <x:v>Готовы Button, IconButton, Chip и BottomActionBar.</x:v>
      </x:c>
      <x:c r="F24" s="85" t="str">
        <x:v>Состояния default, focus, loading, disabled и long text представлены; доступность проходит.</x:v>
      </x:c>
      <x:c r="G24" s="85" t="str">
        <x:v>E02-FO-02</x:v>
      </x:c>
      <x:c r="H24" s="85" t="str">
        <x:v>TR-SB-FO-003</x:v>
      </x:c>
      <x:c r="I24" s="85" t="str">
        <x:v>Storybook</x:v>
      </x:c>
      <x:c r="J24" s="200" t="str">
        <x:v>M</x:v>
      </x:c>
      <x:c r="K24" s="200" t="str">
        <x:v>Must</x:v>
      </x:c>
      <x:c r="L24" s="188" t="str">
        <x:v>Запланировано</x:v>
      </x:c>
    </x:row>
    <x:row r="25" ht="66" customHeight="1">
      <x:c r="A25" s="192" t="str">
        <x:v>E02-FO-04</x:v>
      </x:c>
      <x:c r="B25" s="193" t="str">
        <x:v>E02</x:v>
      </x:c>
      <x:c r="C25" s="193" t="str">
        <x:v>Front-office</x:v>
      </x:c>
      <x:c r="D25" s="85" t="str">
        <x:v>Создать поля телефонной авторизации</x:v>
      </x:c>
      <x:c r="E25" s="85" t="str">
        <x:v>Готовы PhoneField и OtpInput.</x:v>
      </x:c>
      <x:c r="F25" s="85" t="str">
        <x:v>Маска +7, ошибки, таймер, paste кода, focus и мобильная клавиатура представлены.</x:v>
      </x:c>
      <x:c r="G25" s="85" t="str">
        <x:v>E02-FO-02</x:v>
      </x:c>
      <x:c r="H25" s="85" t="str">
        <x:v>FR-AUTH-001,FR-AUTH-004</x:v>
      </x:c>
      <x:c r="I25" s="85" t="str">
        <x:v>Storybook</x:v>
      </x:c>
      <x:c r="J25" s="200" t="str">
        <x:v>M</x:v>
      </x:c>
      <x:c r="K25" s="200" t="str">
        <x:v>Must</x:v>
      </x:c>
      <x:c r="L25" s="188" t="str">
        <x:v>Запланировано</x:v>
      </x:c>
    </x:row>
    <x:row r="26" ht="66" customHeight="1">
      <x:c r="A26" s="192" t="str">
        <x:v>E02-FO-05</x:v>
      </x:c>
      <x:c r="B26" s="193" t="str">
        <x:v>E02</x:v>
      </x:c>
      <x:c r="C26" s="193" t="str">
        <x:v>Front-office</x:v>
      </x:c>
      <x:c r="D26" s="85" t="str">
        <x:v>Создать навигацию меню</x:v>
      </x:c>
      <x:c r="E26" s="85" t="str">
        <x:v>Готовы AppHeader и CategoryNavigation.</x:v>
      </x:c>
      <x:c r="F26" s="85" t="str">
        <x:v>Активная категория, прокрутка, узкий экран и длинные названия представлены.</x:v>
      </x:c>
      <x:c r="G26" s="85" t="str">
        <x:v>E02-FO-02</x:v>
      </x:c>
      <x:c r="H26" s="85" t="str">
        <x:v>FR-CAT-001</x:v>
      </x:c>
      <x:c r="I26" s="85" t="str">
        <x:v>Storybook</x:v>
      </x:c>
      <x:c r="J26" s="200" t="str">
        <x:v>M</x:v>
      </x:c>
      <x:c r="K26" s="200" t="str">
        <x:v>Must</x:v>
      </x:c>
      <x:c r="L26" s="188" t="str">
        <x:v>Запланировано</x:v>
      </x:c>
    </x:row>
    <x:row r="27" ht="66" customHeight="1">
      <x:c r="A27" s="192" t="str">
        <x:v>E02-FO-06</x:v>
      </x:c>
      <x:c r="B27" s="193" t="str">
        <x:v>E02</x:v>
      </x:c>
      <x:c r="C27" s="193" t="str">
        <x:v>Front-office</x:v>
      </x:c>
      <x:c r="D27" s="85" t="str">
        <x:v>Создать карточку товара</x:v>
      </x:c>
      <x:c r="E27" s="85" t="str">
        <x:v>Готов ProductCard с изображением, ценой и доступностью.</x:v>
      </x:c>
      <x:c r="F27" s="85" t="str">
        <x:v>Представлены image, fallback, long title, price from и выключенная доступность.</x:v>
      </x:c>
      <x:c r="G27" s="85" t="str">
        <x:v>E02-FO-02</x:v>
      </x:c>
      <x:c r="H27" s="85" t="str">
        <x:v>FR-CAT-003,FR-CAT-005</x:v>
      </x:c>
      <x:c r="I27" s="85" t="str">
        <x:v>Storybook</x:v>
      </x:c>
      <x:c r="J27" s="200" t="str">
        <x:v>M</x:v>
      </x:c>
      <x:c r="K27" s="200" t="str">
        <x:v>Must</x:v>
      </x:c>
      <x:c r="L27" s="188" t="str">
        <x:v>Запланировано</x:v>
      </x:c>
    </x:row>
    <x:row r="28" ht="66" customHeight="1">
      <x:c r="A28" s="192" t="str">
        <x:v>E02-FO-07</x:v>
      </x:c>
      <x:c r="B28" s="193" t="str">
        <x:v>E02</x:v>
      </x:c>
      <x:c r="C28" s="193" t="str">
        <x:v>Front-office</x:v>
      </x:c>
      <x:c r="D28" s="85" t="str">
        <x:v>Создать конфигуратор товара</x:v>
      </x:c>
      <x:c r="E28" s="85" t="str">
        <x:v>Готовы ProductConfigurator, VariantSelector и ModifierGroup.</x:v>
      </x:c>
      <x:c r="F28" s="85" t="str">
        <x:v>Single, multiple, required, min/max, ошибки и большой набор добавок представлены.</x:v>
      </x:c>
      <x:c r="G28" s="85" t="str">
        <x:v>E02-FO-03</x:v>
      </x:c>
      <x:c r="H28" s="85" t="str">
        <x:v>FR-CAT-004,FR-CAT-007,FR-CAT-011</x:v>
      </x:c>
      <x:c r="I28" s="85" t="str">
        <x:v>Storybook</x:v>
      </x:c>
      <x:c r="J28" s="200" t="str">
        <x:v>L</x:v>
      </x:c>
      <x:c r="K28" s="200" t="str">
        <x:v>Must</x:v>
      </x:c>
      <x:c r="L28" s="188" t="str">
        <x:v>Запланировано</x:v>
      </x:c>
    </x:row>
    <x:row r="29" ht="66" customHeight="1">
      <x:c r="A29" s="192" t="str">
        <x:v>E02-FO-08</x:v>
      </x:c>
      <x:c r="B29" s="193" t="str">
        <x:v>E02</x:v>
      </x:c>
      <x:c r="C29" s="193" t="str">
        <x:v>Front-office</x:v>
      </x:c>
      <x:c r="D29" s="85" t="str">
        <x:v>Создать счётчик количества и расчёт цены</x:v>
      </x:c>
      <x:c r="E29" s="85" t="str">
        <x:v>Готов QuantityStepper и PriceLabel.</x:v>
      </x:c>
      <x:c r="F29" s="85" t="str">
        <x:v>Границы количества, крупная сумма, изменение варианта и добавок представлены.</x:v>
      </x:c>
      <x:c r="G29" s="85" t="str">
        <x:v>E02-FO-03</x:v>
      </x:c>
      <x:c r="H29" s="85" t="str">
        <x:v>FR-CART-002,FR-CART-003</x:v>
      </x:c>
      <x:c r="I29" s="85" t="str">
        <x:v>Storybook</x:v>
      </x:c>
      <x:c r="J29" s="200" t="str">
        <x:v>S</x:v>
      </x:c>
      <x:c r="K29" s="200" t="str">
        <x:v>Must</x:v>
      </x:c>
      <x:c r="L29" s="188" t="str">
        <x:v>Запланировано</x:v>
      </x:c>
    </x:row>
    <x:row r="30" ht="66" customHeight="1">
      <x:c r="A30" s="192" t="str">
        <x:v>E02-FO-09</x:v>
      </x:c>
      <x:c r="B30" s="193" t="str">
        <x:v>E02</x:v>
      </x:c>
      <x:c r="C30" s="193" t="str">
        <x:v>Front-office</x:v>
      </x:c>
      <x:c r="D30" s="85" t="str">
        <x:v>Создать компоненты корзины</x:v>
      </x:c>
      <x:c r="E30" s="85" t="str">
        <x:v>Готовы CartLine, CartSummary и CartBadge.</x:v>
      </x:c>
      <x:c r="F30" s="85" t="str">
        <x:v>Редактирование количества, удаление, длинная конфигурация и пустая корзина представлены.</x:v>
      </x:c>
      <x:c r="G30" s="85" t="str">
        <x:v>E02-FO-03,E02-FO-08</x:v>
      </x:c>
      <x:c r="H30" s="85" t="str">
        <x:v>FR-CART-001–FR-CART-006</x:v>
      </x:c>
      <x:c r="I30" s="85" t="str">
        <x:v>Storybook</x:v>
      </x:c>
      <x:c r="J30" s="200" t="str">
        <x:v>M</x:v>
      </x:c>
      <x:c r="K30" s="200" t="str">
        <x:v>Must</x:v>
      </x:c>
      <x:c r="L30" s="188" t="str">
        <x:v>Запланировано</x:v>
      </x:c>
    </x:row>
    <x:row r="31" ht="66" customHeight="1">
      <x:c r="A31" s="192" t="str">
        <x:v>E02-FO-10</x:v>
      </x:c>
      <x:c r="B31" s="193" t="str">
        <x:v>E02</x:v>
      </x:c>
      <x:c r="C31" s="193" t="str">
        <x:v>Front-office</x:v>
      </x:c>
      <x:c r="D31" s="85" t="str">
        <x:v>Создать уведомления об актуализации корзины</x:v>
      </x:c>
      <x:c r="E31" s="85" t="str">
        <x:v>Готовы PriceChangeNotice и AvailabilityNotice.</x:v>
      </x:c>
      <x:c r="F31" s="85" t="str">
        <x:v>Изменение цены и выключенная позиция представлены с ясным следующим действием.</x:v>
      </x:c>
      <x:c r="G31" s="85" t="str">
        <x:v>E02-FO-09</x:v>
      </x:c>
      <x:c r="H31" s="85" t="str">
        <x:v>FR-CART-008,FR-CART-009</x:v>
      </x:c>
      <x:c r="I31" s="85" t="str">
        <x:v>Storybook</x:v>
      </x:c>
      <x:c r="J31" s="200" t="str">
        <x:v>S</x:v>
      </x:c>
      <x:c r="K31" s="200" t="str">
        <x:v>Must</x:v>
      </x:c>
      <x:c r="L31" s="188" t="str">
        <x:v>Запланировано</x:v>
      </x:c>
    </x:row>
    <x:row r="32" ht="66" customHeight="1">
      <x:c r="A32" s="192" t="str">
        <x:v>E02-FO-11</x:v>
      </x:c>
      <x:c r="B32" s="193" t="str">
        <x:v>E02</x:v>
      </x:c>
      <x:c r="C32" s="193" t="str">
        <x:v>Front-office</x:v>
      </x:c>
      <x:c r="D32" s="85" t="str">
        <x:v>Создать компоненты состояния заказа</x:v>
      </x:c>
      <x:c r="E32" s="85" t="str">
        <x:v>Готовы OrderStage, PaymentStatus и OrderDetails.</x:v>
      </x:c>
      <x:c r="F32" s="85" t="str">
        <x:v>Все стадии, оба статуса оплаты, длинный состав и крупная сумма представлены.</x:v>
      </x:c>
      <x:c r="G32" s="85" t="str">
        <x:v>E02-FO-03</x:v>
      </x:c>
      <x:c r="H32" s="85" t="str">
        <x:v>FR-ORD-016,FR-PAY-006</x:v>
      </x:c>
      <x:c r="I32" s="85" t="str">
        <x:v>Storybook</x:v>
      </x:c>
      <x:c r="J32" s="200" t="str">
        <x:v>M</x:v>
      </x:c>
      <x:c r="K32" s="200" t="str">
        <x:v>Must</x:v>
      </x:c>
      <x:c r="L32" s="188" t="str">
        <x:v>Запланировано</x:v>
      </x:c>
    </x:row>
    <x:row r="33" ht="66" customHeight="1">
      <x:c r="A33" s="192" t="str">
        <x:v>E02-FO-12</x:v>
      </x:c>
      <x:c r="B33" s="193" t="str">
        <x:v>E02</x:v>
      </x:c>
      <x:c r="C33" s="193" t="str">
        <x:v>Front-office</x:v>
      </x:c>
      <x:c r="D33" s="85" t="str">
        <x:v>Создать компоненты истории</x:v>
      </x:c>
      <x:c r="E33" s="85" t="str">
        <x:v>Готовы OrderCard и OrderHistoryList.</x:v>
      </x:c>
      <x:c r="F33" s="85" t="str">
        <x:v>Пустая история, несколько заказов, пагинация и терминальная стадия представлены.</x:v>
      </x:c>
      <x:c r="G33" s="85" t="str">
        <x:v>E02-FO-11</x:v>
      </x:c>
      <x:c r="H33" s="85" t="str">
        <x:v>FR-HIST-001–FR-HIST-005</x:v>
      </x:c>
      <x:c r="I33" s="85" t="str">
        <x:v>Storybook</x:v>
      </x:c>
      <x:c r="J33" s="200" t="str">
        <x:v>M</x:v>
      </x:c>
      <x:c r="K33" s="200" t="str">
        <x:v>Must</x:v>
      </x:c>
      <x:c r="L33" s="188" t="str">
        <x:v>Запланировано</x:v>
      </x:c>
    </x:row>
    <x:row r="34" ht="66" customHeight="1">
      <x:c r="A34" s="192" t="str">
        <x:v>E02-FO-13</x:v>
      </x:c>
      <x:c r="B34" s="193" t="str">
        <x:v>E02</x:v>
      </x:c>
      <x:c r="C34" s="193" t="str">
        <x:v>Front-office</x:v>
      </x:c>
      <x:c r="D34" s="85" t="str">
        <x:v>Создать общие состояния обратной связи</x:v>
      </x:c>
      <x:c r="E34" s="85" t="str">
        <x:v>Готовы Skeleton, EmptyState, ErrorState, InlineError, Snackbar и Dialog.</x:v>
      </x:c>
      <x:c r="F34" s="85" t="str">
        <x:v>Состояния имеют текст, доступный фокус и повтор действия; mobile layouts представлены.</x:v>
      </x:c>
      <x:c r="G34" s="85" t="str">
        <x:v>E02-FO-02</x:v>
      </x:c>
      <x:c r="H34" s="85" t="str">
        <x:v>Q-A11Y</x:v>
      </x:c>
      <x:c r="I34" s="85" t="str">
        <x:v>Storybook</x:v>
      </x:c>
      <x:c r="J34" s="200" t="str">
        <x:v>M</x:v>
      </x:c>
      <x:c r="K34" s="200" t="str">
        <x:v>Must</x:v>
      </x:c>
      <x:c r="L34" s="188" t="str">
        <x:v>Запланировано</x:v>
      </x:c>
    </x:row>
    <x:row r="35" ht="66" customHeight="1">
      <x:c r="A35" s="192" t="str">
        <x:v>E02-FO-14</x:v>
      </x:c>
      <x:c r="B35" s="193" t="str">
        <x:v>E02</x:v>
      </x:c>
      <x:c r="C35" s="193" t="str">
        <x:v>Front-office</x:v>
      </x:c>
      <x:c r="D35" s="85" t="str">
        <x:v>Собрать композицию MenuPage</x:v>
      </x:c>
      <x:c r="E35" s="85" t="str">
        <x:v>Согласован полный экран меню на данных mock API.</x:v>
      </x:c>
      <x:c r="F35" s="85" t="str">
        <x:v>320, 390 и 768 px представлены; loading, error, closed intake и populated состояния готовы.</x:v>
      </x:c>
      <x:c r="G35" s="85" t="str">
        <x:v>E02-FO-05,E02-FO-06,E02-FO-13</x:v>
      </x:c>
      <x:c r="H35" s="85" t="str">
        <x:v>FR-CAT-001–FR-CAT-015</x:v>
      </x:c>
      <x:c r="I35" s="85" t="str">
        <x:v>Storybook</x:v>
      </x:c>
      <x:c r="J35" s="200" t="str">
        <x:v>M</x:v>
      </x:c>
      <x:c r="K35" s="200" t="str">
        <x:v>Must</x:v>
      </x:c>
      <x:c r="L35" s="188" t="str">
        <x:v>Запланировано</x:v>
      </x:c>
    </x:row>
    <x:row r="36" ht="66" customHeight="1">
      <x:c r="A36" s="192" t="str">
        <x:v>E02-FO-15</x:v>
      </x:c>
      <x:c r="B36" s="193" t="str">
        <x:v>E02</x:v>
      </x:c>
      <x:c r="C36" s="193" t="str">
        <x:v>Front-office</x:v>
      </x:c>
      <x:c r="D36" s="85" t="str">
        <x:v>Собрать композиции ProductSheet и CartPage</x:v>
      </x:c>
      <x:c r="E36" s="85" t="str">
        <x:v>Согласован путь настройки товара и корзины.</x:v>
      </x:c>
      <x:c r="F36" s="85" t="str">
        <x:v>Валидация добавок, пустая корзина, price change и unavailable item представлены.</x:v>
      </x:c>
      <x:c r="G36" s="85" t="str">
        <x:v>E02-FO-07,E02-FO-09,E02-FO-10</x:v>
      </x:c>
      <x:c r="H36" s="85" t="str">
        <x:v>FR-CART-001–FR-CART-010</x:v>
      </x:c>
      <x:c r="I36" s="85" t="str">
        <x:v>Storybook</x:v>
      </x:c>
      <x:c r="J36" s="200" t="str">
        <x:v>M</x:v>
      </x:c>
      <x:c r="K36" s="200" t="str">
        <x:v>Must</x:v>
      </x:c>
      <x:c r="L36" s="188" t="str">
        <x:v>Запланировано</x:v>
      </x:c>
    </x:row>
    <x:row r="37" ht="66" customHeight="1">
      <x:c r="A37" s="192" t="str">
        <x:v>E02-FO-16</x:v>
      </x:c>
      <x:c r="B37" s="193" t="str">
        <x:v>E02</x:v>
      </x:c>
      <x:c r="C37" s="193" t="str">
        <x:v>Front-office</x:v>
      </x:c>
      <x:c r="D37" s="85" t="str">
        <x:v>Собрать композиции PhoneAuthPage и OtpPage</x:v>
      </x:c>
      <x:c r="E37" s="85" t="str">
        <x:v>Согласован телефонный вход.</x:v>
      </x:c>
      <x:c r="F37" s="85" t="str">
        <x:v>Request, countdown, invalid code, expired code и success представлены.</x:v>
      </x:c>
      <x:c r="G37" s="85" t="str">
        <x:v>E02-FO-04,E02-FO-13</x:v>
      </x:c>
      <x:c r="H37" s="85" t="str">
        <x:v>FR-AUTH-001–FR-AUTH-006</x:v>
      </x:c>
      <x:c r="I37" s="85" t="str">
        <x:v>Storybook</x:v>
      </x:c>
      <x:c r="J37" s="200" t="str">
        <x:v>M</x:v>
      </x:c>
      <x:c r="K37" s="200" t="str">
        <x:v>Must</x:v>
      </x:c>
      <x:c r="L37" s="188" t="str">
        <x:v>Запланировано</x:v>
      </x:c>
    </x:row>
    <x:row r="38" ht="66" customHeight="1">
      <x:c r="A38" s="192" t="str">
        <x:v>E02-FO-17</x:v>
      </x:c>
      <x:c r="B38" s="193" t="str">
        <x:v>E02</x:v>
      </x:c>
      <x:c r="C38" s="193" t="str">
        <x:v>Front-office</x:v>
      </x:c>
      <x:c r="D38" s="85" t="str">
        <x:v>Собрать композиции CurrentOrderPage и HistoryPage</x:v>
      </x:c>
      <x:c r="E38" s="85" t="str">
        <x:v>Согласован контур наблюдения за заказами.</x:v>
      </x:c>
      <x:c r="F38" s="85" t="str">
        <x:v>Все стадии, unpaid/paid, loading, error и empty history представлены.</x:v>
      </x:c>
      <x:c r="G38" s="85" t="str">
        <x:v>E02-FO-11,E02-FO-12,E02-FO-13</x:v>
      </x:c>
      <x:c r="H38" s="85" t="str">
        <x:v>FR-HIST-001–FR-HIST-006</x:v>
      </x:c>
      <x:c r="I38" s="85" t="str">
        <x:v>Storybook</x:v>
      </x:c>
      <x:c r="J38" s="200" t="str">
        <x:v>M</x:v>
      </x:c>
      <x:c r="K38" s="200" t="str">
        <x:v>Must</x:v>
      </x:c>
      <x:c r="L38" s="188" t="str">
        <x:v>Запланировано</x:v>
      </x:c>
    </x:row>
    <x:row r="39" ht="66" customHeight="1">
      <x:c r="A39" s="192" t="str">
        <x:v>E02-QA-01</x:v>
      </x:c>
      <x:c r="B39" s="193" t="str">
        <x:v>E02</x:v>
      </x:c>
      <x:c r="C39" s="193" t="str">
        <x:v>QA</x:v>
      </x:c>
      <x:c r="D39" s="85" t="str">
        <x:v>Автоматизировать Storybook interactions и доступность front-office</x:v>
      </x:c>
      <x:c r="E39" s="85" t="str">
        <x:v>Компонентные сценарии выполняются в CI.</x:v>
      </x:c>
      <x:c r="F39" s="85" t="str">
        <x:v>Критические действия имеют play-тесты; a11y scan проходит; ошибки блокируют merge.</x:v>
      </x:c>
      <x:c r="G39" s="85" t="str">
        <x:v>E02-FO-03–E02-FO-17</x:v>
      </x:c>
      <x:c r="H39" s="85" t="str">
        <x:v>TR-SB-FO-GATE,Q-A11Y</x:v>
      </x:c>
      <x:c r="I39" s="85" t="str">
        <x:v>testing</x:v>
      </x:c>
      <x:c r="J39" s="200" t="str">
        <x:v>L</x:v>
      </x:c>
      <x:c r="K39" s="200" t="str">
        <x:v>Must</x:v>
      </x:c>
      <x:c r="L39" s="188" t="str">
        <x:v>Запланировано</x:v>
      </x:c>
    </x:row>
    <x:row r="40" ht="66" customHeight="1">
      <x:c r="A40" s="192" t="str">
        <x:v>E02-DO-01</x:v>
      </x:c>
      <x:c r="B40" s="193" t="str">
        <x:v>E02</x:v>
      </x:c>
      <x:c r="C40" s="193" t="str">
        <x:v>DevOps</x:v>
      </x:c>
      <x:c r="D40" s="85" t="str">
        <x:v>Подключить визуальную регрессию и публикацию Storybook front-office</x:v>
      </x:c>
      <x:c r="E40" s="85" t="str">
        <x:v>Каждый pull request показывает стабильный UI-каталог.</x:v>
      </x:c>
      <x:c r="F40" s="85" t="str">
        <x:v>Снимки хранят baseline; изменения требуют утверждения; test Storybook получает URL.</x:v>
      </x:c>
      <x:c r="G40" s="85" t="str">
        <x:v>E02-QA-01</x:v>
      </x:c>
      <x:c r="H40" s="85" t="str">
        <x:v>Q-CI-FO-SB</x:v>
      </x:c>
      <x:c r="I40" s="85" t="str">
        <x:v>deployment, testing</x:v>
      </x:c>
      <x:c r="J40" s="200" t="str">
        <x:v>M</x:v>
      </x:c>
      <x:c r="K40" s="200" t="str">
        <x:v>Must</x:v>
      </x:c>
      <x:c r="L40" s="188" t="str">
        <x:v>Запланировано</x:v>
      </x:c>
    </x:row>
    <x:row r="41" ht="66" customHeight="1">
      <x:c r="A41" s="192" t="str">
        <x:v>E02-QA-02</x:v>
      </x:c>
      <x:c r="B41" s="193" t="str">
        <x:v>E02</x:v>
      </x:c>
      <x:c r="C41" s="193" t="str">
        <x:v>QA</x:v>
      </x:c>
      <x:c r="D41" s="85" t="str">
        <x:v>Провести барьер SB-FO</x:v>
      </x:c>
      <x:c r="E41" s="85" t="str">
        <x:v>Клиентский UI-каталог принят как основа реализации.</x:v>
      </x:c>
      <x:c r="F41" s="85" t="str">
        <x:v>Полный перечень компонентов закрыт; состояния и адаптивность подтверждены; замечания отражены в stories.</x:v>
      </x:c>
      <x:c r="G41" s="85" t="str">
        <x:v>E02-DO-01</x:v>
      </x:c>
      <x:c r="H41" s="85" t="str">
        <x:v>TR-SB-FO-GATE</x:v>
      </x:c>
      <x:c r="I41" s="85" t="str">
        <x:v>testing</x:v>
      </x:c>
      <x:c r="J41" s="200" t="str">
        <x:v>M</x:v>
      </x:c>
      <x:c r="K41" s="200" t="str">
        <x:v>Must</x:v>
      </x:c>
      <x:c r="L41" s="188" t="str">
        <x:v>Запланировано</x:v>
      </x:c>
    </x:row>
    <x:row r="42" ht="66" customHeight="1">
      <x:c r="A42" s="192" t="str">
        <x:v>E03-BO-01</x:v>
      </x:c>
      <x:c r="B42" s="193" t="str">
        <x:v>E03</x:v>
      </x:c>
      <x:c r="C42" s="193" t="str">
        <x:v>Back-office</x:v>
      </x:c>
      <x:c r="D42" s="85" t="str">
        <x:v>Подключить Storybook back-office</x:v>
      </x:c>
      <x:c r="E42" s="85" t="str">
        <x:v>Storybook запускается локально и собирается статически.</x:v>
      </x:c>
      <x:c r="F42" s="85" t="str">
        <x:v>Vuetify, router, Pinia и mock API доступны; build работает в CI.</x:v>
      </x:c>
      <x:c r="G42" s="85" t="str">
        <x:v>E01-BO-02</x:v>
      </x:c>
      <x:c r="H42" s="85" t="str">
        <x:v>TR-SB-BO-001</x:v>
      </x:c>
      <x:c r="I42" s="85" t="str">
        <x:v>README, testing</x:v>
      </x:c>
      <x:c r="J42" s="200" t="str">
        <x:v>M</x:v>
      </x:c>
      <x:c r="K42" s="200" t="str">
        <x:v>Must</x:v>
      </x:c>
      <x:c r="L42" s="188" t="str">
        <x:v>Запланировано</x:v>
      </x:c>
    </x:row>
    <x:row r="43" ht="66" customHeight="1">
      <x:c r="A43" s="192" t="str">
        <x:v>E03-BO-02</x:v>
      </x:c>
      <x:c r="B43" s="193" t="str">
        <x:v>E03</x:v>
      </x:c>
      <x:c r="C43" s="193" t="str">
        <x:v>Back-office</x:v>
      </x:c>
      <x:c r="D43" s="85" t="str">
        <x:v>Зафиксировать foundations back-office</x:v>
      </x:c>
      <x:c r="E43" s="85" t="str">
        <x:v>Определены токены, плотность, типографика, сетка и рабочие breakpoints.</x:v>
      </x:c>
      <x:c r="F43" s="85" t="str">
        <x:v>768, 1280 и 1440 px представлены; тема применяется всеми компонентами.</x:v>
      </x:c>
      <x:c r="G43" s="85" t="str">
        <x:v>E03-BO-01</x:v>
      </x:c>
      <x:c r="H43" s="85" t="str">
        <x:v>TR-SB-BO-002</x:v>
      </x:c>
      <x:c r="I43" s="85" t="str">
        <x:v>architecture, Storybook</x:v>
      </x:c>
      <x:c r="J43" s="200" t="str">
        <x:v>M</x:v>
      </x:c>
      <x:c r="K43" s="200" t="str">
        <x:v>Must</x:v>
      </x:c>
      <x:c r="L43" s="188" t="str">
        <x:v>Запланировано</x:v>
      </x:c>
    </x:row>
    <x:row r="44" ht="66" customHeight="1">
      <x:c r="A44" s="192" t="str">
        <x:v>E03-BO-03</x:v>
      </x:c>
      <x:c r="B44" s="193" t="str">
        <x:v>E03</x:v>
      </x:c>
      <x:c r="C44" s="193" t="str">
        <x:v>Back-office</x:v>
      </x:c>
      <x:c r="D44" s="85" t="str">
        <x:v>Создать рабочие controls</x:v>
      </x:c>
      <x:c r="E44" s="85" t="str">
        <x:v>Готовы Button, IconButton, TextField, Select, Toggle, Tabs, SearchField и ConfirmDialog.</x:v>
      </x:c>
      <x:c r="F44" s="85" t="str">
        <x:v>Focus, loading, disabled, validation, long text и tablet states представлены.</x:v>
      </x:c>
      <x:c r="G44" s="85" t="str">
        <x:v>E03-BO-02</x:v>
      </x:c>
      <x:c r="H44" s="85" t="str">
        <x:v>TR-SB-BO-003</x:v>
      </x:c>
      <x:c r="I44" s="85" t="str">
        <x:v>Storybook</x:v>
      </x:c>
      <x:c r="J44" s="200" t="str">
        <x:v>L</x:v>
      </x:c>
      <x:c r="K44" s="200" t="str">
        <x:v>Must</x:v>
      </x:c>
      <x:c r="L44" s="188" t="str">
        <x:v>Запланировано</x:v>
      </x:c>
    </x:row>
    <x:row r="45" ht="66" customHeight="1">
      <x:c r="A45" s="192" t="str">
        <x:v>E03-BO-04</x:v>
      </x:c>
      <x:c r="B45" s="193" t="str">
        <x:v>E03</x:v>
      </x:c>
      <x:c r="C45" s="193" t="str">
        <x:v>Back-office</x:v>
      </x:c>
      <x:c r="D45" s="85" t="str">
        <x:v>Создать статусы заказа и оплаты</x:v>
      </x:c>
      <x:c r="E45" s="85" t="str">
        <x:v>Готовы OrderStatusBadge и PaymentBadge.</x:v>
      </x:c>
      <x:c r="F45" s="85" t="str">
        <x:v>Все стадии и оба статуса оплаты различимы текстом и формой; контраст подтверждён.</x:v>
      </x:c>
      <x:c r="G45" s="85" t="str">
        <x:v>E03-BO-02</x:v>
      </x:c>
      <x:c r="H45" s="85" t="str">
        <x:v>FR-ORD-005,FR-ORD-006</x:v>
      </x:c>
      <x:c r="I45" s="85" t="str">
        <x:v>Storybook</x:v>
      </x:c>
      <x:c r="J45" s="200" t="str">
        <x:v>S</x:v>
      </x:c>
      <x:c r="K45" s="200" t="str">
        <x:v>Must</x:v>
      </x:c>
      <x:c r="L45" s="188" t="str">
        <x:v>Запланировано</x:v>
      </x:c>
    </x:row>
    <x:row r="46" ht="66" customHeight="1">
      <x:c r="A46" s="192" t="str">
        <x:v>E03-BO-05</x:v>
      </x:c>
      <x:c r="B46" s="193" t="str">
        <x:v>E03</x:v>
      </x:c>
      <x:c r="C46" s="193" t="str">
        <x:v>Back-office</x:v>
      </x:c>
      <x:c r="D46" s="85" t="str">
        <x:v>Создать карточку очереди заказа</x:v>
      </x:c>
      <x:c r="E46" s="85" t="str">
        <x:v>Готов OrderQueueCard.</x:v>
      </x:c>
      <x:c r="F46" s="85" t="str">
        <x:v>Номер, время, сумма, стадия, оплата, длинный состав и новая запись представлены.</x:v>
      </x:c>
      <x:c r="G46" s="85" t="str">
        <x:v>E03-BO-04</x:v>
      </x:c>
      <x:c r="H46" s="85" t="str">
        <x:v>FR-ORD-009</x:v>
      </x:c>
      <x:c r="I46" s="85" t="str">
        <x:v>Storybook</x:v>
      </x:c>
      <x:c r="J46" s="200" t="str">
        <x:v>M</x:v>
      </x:c>
      <x:c r="K46" s="200" t="str">
        <x:v>Must</x:v>
      </x:c>
      <x:c r="L46" s="188" t="str">
        <x:v>Запланировано</x:v>
      </x:c>
    </x:row>
    <x:row r="47" ht="66" customHeight="1">
      <x:c r="A47" s="192" t="str">
        <x:v>E03-BO-06</x:v>
      </x:c>
      <x:c r="B47" s="193" t="str">
        <x:v>E03</x:v>
      </x:c>
      <x:c r="C47" s="193" t="str">
        <x:v>Back-office</x:v>
      </x:c>
      <x:c r="D47" s="85" t="str">
        <x:v>Создать список и фильтры очереди</x:v>
      </x:c>
      <x:c r="E47" s="85" t="str">
        <x:v>Готовы OrderQueueList, Tabs и counters.</x:v>
      </x:c>
      <x:c r="F47" s="85" t="str">
        <x:v>Пустая, единичная и плотная очередь; поиск; каждая стадия представлены.</x:v>
      </x:c>
      <x:c r="G47" s="85" t="str">
        <x:v>E03-BO-03,E03-BO-05</x:v>
      </x:c>
      <x:c r="H47" s="85" t="str">
        <x:v>FR-ORD-009</x:v>
      </x:c>
      <x:c r="I47" s="85" t="str">
        <x:v>Storybook</x:v>
      </x:c>
      <x:c r="J47" s="200" t="str">
        <x:v>M</x:v>
      </x:c>
      <x:c r="K47" s="200" t="str">
        <x:v>Must</x:v>
      </x:c>
      <x:c r="L47" s="188" t="str">
        <x:v>Запланировано</x:v>
      </x:c>
    </x:row>
    <x:row r="48" ht="66" customHeight="1">
      <x:c r="A48" s="192" t="str">
        <x:v>E03-BO-07</x:v>
      </x:c>
      <x:c r="B48" s="193" t="str">
        <x:v>E03</x:v>
      </x:c>
      <x:c r="C48" s="193" t="str">
        <x:v>Back-office</x:v>
      </x:c>
      <x:c r="D48" s="85" t="str">
        <x:v>Создать панель деталей заказа</x:v>
      </x:c>
      <x:c r="E48" s="85" t="str">
        <x:v>Готовы OrderDetailsPanel и EventTimeline.</x:v>
      </x:c>
      <x:c r="F48" s="85" t="str">
        <x:v>Состав, снимки цен, customer, события, loading и error представлены.</x:v>
      </x:c>
      <x:c r="G48" s="85" t="str">
        <x:v>E03-BO-04</x:v>
      </x:c>
      <x:c r="H48" s="85" t="str">
        <x:v>FR-ORD-010,FR-ORD-012</x:v>
      </x:c>
      <x:c r="I48" s="85" t="str">
        <x:v>Storybook</x:v>
      </x:c>
      <x:c r="J48" s="200" t="str">
        <x:v>M</x:v>
      </x:c>
      <x:c r="K48" s="200" t="str">
        <x:v>Must</x:v>
      </x:c>
      <x:c r="L48" s="188" t="str">
        <x:v>Запланировано</x:v>
      </x:c>
    </x:row>
    <x:row r="49" ht="66" customHeight="1">
      <x:c r="A49" s="192" t="str">
        <x:v>E03-BO-08</x:v>
      </x:c>
      <x:c r="B49" s="193" t="str">
        <x:v>E03</x:v>
      </x:c>
      <x:c r="C49" s="193" t="str">
        <x:v>Back-office</x:v>
      </x:c>
      <x:c r="D49" s="85" t="str">
        <x:v>Создать панель действий заказа</x:v>
      </x:c>
      <x:c r="E49" s="85" t="str">
        <x:v>Готов OrderActionBar для всех разрешённых шагов.</x:v>
      </x:c>
      <x:c r="F49" s="85" t="str">
        <x:v>Accept, preparing, ready, payment, issue, pending request и conflict представлены.</x:v>
      </x:c>
      <x:c r="G49" s="85" t="str">
        <x:v>E03-BO-07</x:v>
      </x:c>
      <x:c r="H49" s="85" t="str">
        <x:v>FR-ORD-011,FR-PAY-002–FR-PAY-005</x:v>
      </x:c>
      <x:c r="I49" s="85" t="str">
        <x:v>Storybook</x:v>
      </x:c>
      <x:c r="J49" s="200" t="str">
        <x:v>L</x:v>
      </x:c>
      <x:c r="K49" s="200" t="str">
        <x:v>Must</x:v>
      </x:c>
      <x:c r="L49" s="188" t="str">
        <x:v>Запланировано</x:v>
      </x:c>
    </x:row>
    <x:row r="50" ht="66" customHeight="1">
      <x:c r="A50" s="192" t="str">
        <x:v>E03-BO-09</x:v>
      </x:c>
      <x:c r="B50" s="193" t="str">
        <x:v>E03</x:v>
      </x:c>
      <x:c r="C50" s="193" t="str">
        <x:v>Back-office</x:v>
      </x:c>
      <x:c r="D50" s="85" t="str">
        <x:v>Создать компоненты доступности</x:v>
      </x:c>
      <x:c r="E50" s="85" t="str">
        <x:v>Готовы AvailabilityRow, AvailabilityGroup и ServiceIntakeControl.</x:v>
      </x:c>
      <x:c r="F50" s="85" t="str">
        <x:v>Product, variant, modifier, optimistic update, rollback и busy states представлены.</x:v>
      </x:c>
      <x:c r="G50" s="85" t="str">
        <x:v>E03-BO-03</x:v>
      </x:c>
      <x:c r="H50" s="85" t="str">
        <x:v>FR-AVL-001–FR-AVL-005</x:v>
      </x:c>
      <x:c r="I50" s="85" t="str">
        <x:v>Storybook</x:v>
      </x:c>
      <x:c r="J50" s="200" t="str">
        <x:v>M</x:v>
      </x:c>
      <x:c r="K50" s="200" t="str">
        <x:v>Must</x:v>
      </x:c>
      <x:c r="L50" s="188" t="str">
        <x:v>Запланировано</x:v>
      </x:c>
    </x:row>
    <x:row r="51" ht="66" customHeight="1">
      <x:c r="A51" s="192" t="str">
        <x:v>E03-BO-10</x:v>
      </x:c>
      <x:c r="B51" s="193" t="str">
        <x:v>E03</x:v>
      </x:c>
      <x:c r="C51" s="193" t="str">
        <x:v>Back-office</x:v>
      </x:c>
      <x:c r="D51" s="85" t="str">
        <x:v>Создать метаданные последнего изменения</x:v>
      </x:c>
      <x:c r="E51" s="85" t="str">
        <x:v>Готов LastChangeMeta.</x:v>
      </x:c>
      <x:c r="F51" s="85" t="str">
        <x:v>Автор, время, unknown actor и long phone mask представлены.</x:v>
      </x:c>
      <x:c r="G51" s="85" t="str">
        <x:v>E03-BO-09</x:v>
      </x:c>
      <x:c r="H51" s="85" t="str">
        <x:v>FR-AVL-006</x:v>
      </x:c>
      <x:c r="I51" s="85" t="str">
        <x:v>Storybook</x:v>
      </x:c>
      <x:c r="J51" s="200" t="str">
        <x:v>S</x:v>
      </x:c>
      <x:c r="K51" s="200" t="str">
        <x:v>Must</x:v>
      </x:c>
      <x:c r="L51" s="188" t="str">
        <x:v>Запланировано</x:v>
      </x:c>
    </x:row>
    <x:row r="52" ht="66" customHeight="1">
      <x:c r="A52" s="192" t="str">
        <x:v>E03-BO-11</x:v>
      </x:c>
      <x:c r="B52" s="193" t="str">
        <x:v>E03</x:v>
      </x:c>
      <x:c r="C52" s="193" t="str">
        <x:v>Back-office</x:v>
      </x:c>
      <x:c r="D52" s="85" t="str">
        <x:v>Создать элементы списка меню</x:v>
      </x:c>
      <x:c r="E52" s="85" t="str">
        <x:v>Готовы CategoryListItem и ProductListItem.</x:v>
      </x:c>
      <x:c r="F52" s="85" t="str">
        <x:v>Active, archived, unavailable, image fallback и drag/reorder states представлены.</x:v>
      </x:c>
      <x:c r="G52" s="85" t="str">
        <x:v>E03-BO-03</x:v>
      </x:c>
      <x:c r="H52" s="85" t="str">
        <x:v>FR-ADM-001,FR-ADM-002</x:v>
      </x:c>
      <x:c r="I52" s="85" t="str">
        <x:v>Storybook</x:v>
      </x:c>
      <x:c r="J52" s="200" t="str">
        <x:v>M</x:v>
      </x:c>
      <x:c r="K52" s="200" t="str">
        <x:v>Must</x:v>
      </x:c>
      <x:c r="L52" s="188" t="str">
        <x:v>Запланировано</x:v>
      </x:c>
    </x:row>
    <x:row r="53" ht="66" customHeight="1">
      <x:c r="A53" s="192" t="str">
        <x:v>E03-BO-12</x:v>
      </x:c>
      <x:c r="B53" s="193" t="str">
        <x:v>E03</x:v>
      </x:c>
      <x:c r="C53" s="193" t="str">
        <x:v>Back-office</x:v>
      </x:c>
      <x:c r="D53" s="85" t="str">
        <x:v>Создать формы категории и товара</x:v>
      </x:c>
      <x:c r="E53" s="85" t="str">
        <x:v>Готовы CategoryForm и ProductForm.</x:v>
      </x:c>
      <x:c r="F53" s="85" t="str">
        <x:v>Create, edit, server errors, image upload, long text и archived state представлены.</x:v>
      </x:c>
      <x:c r="G53" s="85" t="str">
        <x:v>E03-BO-03,E03-BO-11</x:v>
      </x:c>
      <x:c r="H53" s="85" t="str">
        <x:v>FR-ADM-001–FR-ADM-003</x:v>
      </x:c>
      <x:c r="I53" s="85" t="str">
        <x:v>Storybook</x:v>
      </x:c>
      <x:c r="J53" s="200" t="str">
        <x:v>L</x:v>
      </x:c>
      <x:c r="K53" s="200" t="str">
        <x:v>Must</x:v>
      </x:c>
      <x:c r="L53" s="188" t="str">
        <x:v>Запланировано</x:v>
      </x:c>
    </x:row>
    <x:row r="54" ht="66" customHeight="1">
      <x:c r="A54" s="192" t="str">
        <x:v>E03-BO-13</x:v>
      </x:c>
      <x:c r="B54" s="193" t="str">
        <x:v>E03</x:v>
      </x:c>
      <x:c r="C54" s="193" t="str">
        <x:v>Back-office</x:v>
      </x:c>
      <x:c r="D54" s="85" t="str">
        <x:v>Создать редактор вариантов и цен</x:v>
      </x:c>
      <x:c r="E54" s="85" t="str">
        <x:v>Готов VariantEditor.</x:v>
      </x:c>
      <x:c r="F54" s="85" t="str">
        <x:v>Один и несколько размеров, currency input, reorder, validation и archive представлены.</x:v>
      </x:c>
      <x:c r="G54" s="85" t="str">
        <x:v>E03-BO-03</x:v>
      </x:c>
      <x:c r="H54" s="85" t="str">
        <x:v>FR-ADM-004</x:v>
      </x:c>
      <x:c r="I54" s="85" t="str">
        <x:v>Storybook</x:v>
      </x:c>
      <x:c r="J54" s="200" t="str">
        <x:v>M</x:v>
      </x:c>
      <x:c r="K54" s="200" t="str">
        <x:v>Must</x:v>
      </x:c>
      <x:c r="L54" s="188" t="str">
        <x:v>Запланировано</x:v>
      </x:c>
    </x:row>
    <x:row r="55" ht="66" customHeight="1">
      <x:c r="A55" s="192" t="str">
        <x:v>E03-BO-14</x:v>
      </x:c>
      <x:c r="B55" s="193" t="str">
        <x:v>E03</x:v>
      </x:c>
      <x:c r="C55" s="193" t="str">
        <x:v>Back-office</x:v>
      </x:c>
      <x:c r="D55" s="85" t="str">
        <x:v>Создать редакторы добавок</x:v>
      </x:c>
      <x:c r="E55" s="85" t="str">
        <x:v>Готовы ModifierGroupEditor и ModifierOptionEditor.</x:v>
      </x:c>
      <x:c r="F55" s="85" t="str">
        <x:v>Single/multiple, min/max, price delta, reorder, errors и archive представлены.</x:v>
      </x:c>
      <x:c r="G55" s="85" t="str">
        <x:v>E03-BO-03</x:v>
      </x:c>
      <x:c r="H55" s="85" t="str">
        <x:v>FR-ADM-005–FR-ADM-007</x:v>
      </x:c>
      <x:c r="I55" s="85" t="str">
        <x:v>Storybook</x:v>
      </x:c>
      <x:c r="J55" s="200" t="str">
        <x:v>L</x:v>
      </x:c>
      <x:c r="K55" s="200" t="str">
        <x:v>Must</x:v>
      </x:c>
      <x:c r="L55" s="188" t="str">
        <x:v>Запланировано</x:v>
      </x:c>
    </x:row>
    <x:row r="56" ht="66" customHeight="1">
      <x:c r="A56" s="192" t="str">
        <x:v>E03-BO-15</x:v>
      </x:c>
      <x:c r="B56" s="193" t="str">
        <x:v>E03</x:v>
      </x:c>
      <x:c r="C56" s="193" t="str">
        <x:v>Back-office</x:v>
      </x:c>
      <x:c r="D56" s="85" t="str">
        <x:v>Создать загрузчик изображения</x:v>
      </x:c>
      <x:c r="E56" s="85" t="str">
        <x:v>Готов ImageUploader.</x:v>
      </x:c>
      <x:c r="F56" s="85" t="str">
        <x:v>Select, preview, progress, invalid MIME, oversize, replace и remove представлены.</x:v>
      </x:c>
      <x:c r="G56" s="85" t="str">
        <x:v>E03-BO-03</x:v>
      </x:c>
      <x:c r="H56" s="85" t="str">
        <x:v>FR-CAT-013,FR-ADM-003</x:v>
      </x:c>
      <x:c r="I56" s="85" t="str">
        <x:v>Storybook</x:v>
      </x:c>
      <x:c r="J56" s="200" t="str">
        <x:v>M</x:v>
      </x:c>
      <x:c r="K56" s="200" t="str">
        <x:v>Must</x:v>
      </x:c>
      <x:c r="L56" s="188" t="str">
        <x:v>Запланировано</x:v>
      </x:c>
    </x:row>
    <x:row r="57" ht="66" customHeight="1">
      <x:c r="A57" s="192" t="str">
        <x:v>E03-BO-16</x:v>
      </x:c>
      <x:c r="B57" s="193" t="str">
        <x:v>E03</x:v>
      </x:c>
      <x:c r="C57" s="193" t="str">
        <x:v>Back-office</x:v>
      </x:c>
      <x:c r="D57" s="85" t="str">
        <x:v>Собрать композиции заказов и доступности</x:v>
      </x:c>
      <x:c r="E57" s="85" t="str">
        <x:v>Согласованы OrdersPage, OrderDetailsView и AvailabilityPage.</x:v>
      </x:c>
      <x:c r="F57" s="85" t="str">
        <x:v>Tablet и desktop layouts; dense queue; conflicts; service intake states представлены.</x:v>
      </x:c>
      <x:c r="G57" s="85" t="str">
        <x:v>E03-BO-06–E03-BO-10</x:v>
      </x:c>
      <x:c r="H57" s="85" t="str">
        <x:v>FR-ORD-009–FR-ORD-015,FR-AVL-001–FR-AVL-008</x:v>
      </x:c>
      <x:c r="I57" s="85" t="str">
        <x:v>Storybook</x:v>
      </x:c>
      <x:c r="J57" s="200" t="str">
        <x:v>L</x:v>
      </x:c>
      <x:c r="K57" s="200" t="str">
        <x:v>Must</x:v>
      </x:c>
      <x:c r="L57" s="188" t="str">
        <x:v>Запланировано</x:v>
      </x:c>
    </x:row>
    <x:row r="58" ht="66" customHeight="1">
      <x:c r="A58" s="192" t="str">
        <x:v>E03-BO-17</x:v>
      </x:c>
      <x:c r="B58" s="193" t="str">
        <x:v>E03</x:v>
      </x:c>
      <x:c r="C58" s="193" t="str">
        <x:v>Back-office</x:v>
      </x:c>
      <x:c r="D58" s="85" t="str">
        <x:v>Собрать композиции управления меню</x:v>
      </x:c>
      <x:c r="E58" s="85" t="str">
        <x:v>Согласованы MenuPage, CategoryEditorPage и ProductEditorPage.</x:v>
      </x:c>
      <x:c r="F58" s="85" t="str">
        <x:v>Create/edit/archive, variants, modifiers, image, validation и empty states представлены.</x:v>
      </x:c>
      <x:c r="G58" s="85" t="str">
        <x:v>E03-BO-11–E03-BO-15</x:v>
      </x:c>
      <x:c r="H58" s="85" t="str">
        <x:v>FR-ADM-001–FR-ADM-010</x:v>
      </x:c>
      <x:c r="I58" s="85" t="str">
        <x:v>Storybook</x:v>
      </x:c>
      <x:c r="J58" s="200" t="str">
        <x:v>L</x:v>
      </x:c>
      <x:c r="K58" s="200" t="str">
        <x:v>Must</x:v>
      </x:c>
      <x:c r="L58" s="188" t="str">
        <x:v>Запланировано</x:v>
      </x:c>
    </x:row>
    <x:row r="59" ht="66" customHeight="1">
      <x:c r="A59" s="192" t="str">
        <x:v>E03-BO-18</x:v>
      </x:c>
      <x:c r="B59" s="193" t="str">
        <x:v>E03</x:v>
      </x:c>
      <x:c r="C59" s="193" t="str">
        <x:v>Back-office</x:v>
      </x:c>
      <x:c r="D59" s="85" t="str">
        <x:v>Собрать композицию StaffLoginPage</x:v>
      </x:c>
      <x:c r="E59" s="85" t="str">
        <x:v>Согласован вход сотрудника.</x:v>
      </x:c>
      <x:c r="F59" s="85" t="str">
        <x:v>Phone, OTP, invalid role, expired code и loading states представлены.</x:v>
      </x:c>
      <x:c r="G59" s="85" t="str">
        <x:v>E03-BO-03</x:v>
      </x:c>
      <x:c r="H59" s="85" t="str">
        <x:v>FR-AUTH-010</x:v>
      </x:c>
      <x:c r="I59" s="85" t="str">
        <x:v>Storybook</x:v>
      </x:c>
      <x:c r="J59" s="200" t="str">
        <x:v>M</x:v>
      </x:c>
      <x:c r="K59" s="200" t="str">
        <x:v>Must</x:v>
      </x:c>
      <x:c r="L59" s="188" t="str">
        <x:v>Запланировано</x:v>
      </x:c>
    </x:row>
    <x:row r="60" ht="66" customHeight="1">
      <x:c r="A60" s="192" t="str">
        <x:v>E03-QA-01</x:v>
      </x:c>
      <x:c r="B60" s="193" t="str">
        <x:v>E03</x:v>
      </x:c>
      <x:c r="C60" s="193" t="str">
        <x:v>QA</x:v>
      </x:c>
      <x:c r="D60" s="85" t="str">
        <x:v>Автоматизировать Storybook interactions и доступность back-office</x:v>
      </x:c>
      <x:c r="E60" s="85" t="str">
        <x:v>Рабочие компонентные сценарии выполняются в CI.</x:v>
      </x:c>
      <x:c r="F60" s="85" t="str">
        <x:v>Статусные действия, формы и toggles имеют play-тесты; a11y scan блокирует merge.</x:v>
      </x:c>
      <x:c r="G60" s="85" t="str">
        <x:v>E03-BO-03–E03-BO-18</x:v>
      </x:c>
      <x:c r="H60" s="85" t="str">
        <x:v>TR-SB-BO-GATE,Q-A11Y</x:v>
      </x:c>
      <x:c r="I60" s="85" t="str">
        <x:v>testing</x:v>
      </x:c>
      <x:c r="J60" s="200" t="str">
        <x:v>L</x:v>
      </x:c>
      <x:c r="K60" s="200" t="str">
        <x:v>Must</x:v>
      </x:c>
      <x:c r="L60" s="188" t="str">
        <x:v>Запланировано</x:v>
      </x:c>
    </x:row>
    <x:row r="61" ht="66" customHeight="1">
      <x:c r="A61" s="192" t="str">
        <x:v>E03-DO-01</x:v>
      </x:c>
      <x:c r="B61" s="193" t="str">
        <x:v>E03</x:v>
      </x:c>
      <x:c r="C61" s="193" t="str">
        <x:v>DevOps</x:v>
      </x:c>
      <x:c r="D61" s="85" t="str">
        <x:v>Подключить визуальную регрессию и публикацию Storybook back-office</x:v>
      </x:c>
      <x:c r="E61" s="85" t="str">
        <x:v>Каждый pull request показывает стабильный рабочий UI-каталог.</x:v>
      </x:c>
      <x:c r="F61" s="85" t="str">
        <x:v>Снимки хранят baseline; изменения требуют утверждения; test Storybook получает URL.</x:v>
      </x:c>
      <x:c r="G61" s="85" t="str">
        <x:v>E03-QA-01</x:v>
      </x:c>
      <x:c r="H61" s="85" t="str">
        <x:v>Q-CI-BO-SB</x:v>
      </x:c>
      <x:c r="I61" s="85" t="str">
        <x:v>deployment, testing</x:v>
      </x:c>
      <x:c r="J61" s="200" t="str">
        <x:v>M</x:v>
      </x:c>
      <x:c r="K61" s="200" t="str">
        <x:v>Must</x:v>
      </x:c>
      <x:c r="L61" s="188" t="str">
        <x:v>Запланировано</x:v>
      </x:c>
    </x:row>
    <x:row r="62" ht="66" customHeight="1">
      <x:c r="A62" s="192" t="str">
        <x:v>E03-QA-02</x:v>
      </x:c>
      <x:c r="B62" s="193" t="str">
        <x:v>E03</x:v>
      </x:c>
      <x:c r="C62" s="193" t="str">
        <x:v>QA</x:v>
      </x:c>
      <x:c r="D62" s="85" t="str">
        <x:v>Провести барьер SB-BO</x:v>
      </x:c>
      <x:c r="E62" s="85" t="str">
        <x:v>Рабочий UI-каталог принят как основа реализации.</x:v>
      </x:c>
      <x:c r="F62" s="85" t="str">
        <x:v>Полный перечень компонентов закрыт; сценарии планшета и desktop подтверждены; замечания отражены в stories.</x:v>
      </x:c>
      <x:c r="G62" s="85" t="str">
        <x:v>E03-DO-01</x:v>
      </x:c>
      <x:c r="H62" s="85" t="str">
        <x:v>TR-SB-BO-GATE</x:v>
      </x:c>
      <x:c r="I62" s="85" t="str">
        <x:v>testing</x:v>
      </x:c>
      <x:c r="J62" s="200" t="str">
        <x:v>M</x:v>
      </x:c>
      <x:c r="K62" s="200" t="str">
        <x:v>Must</x:v>
      </x:c>
      <x:c r="L62" s="188" t="str">
        <x:v>Запланировано</x:v>
      </x:c>
    </x:row>
    <x:row r="63" ht="66" customHeight="1">
      <x:c r="A63" s="192" t="str">
        <x:v>E04-BE-01</x:v>
      </x:c>
      <x:c r="B63" s="193" t="str">
        <x:v>E04</x:v>
      </x:c>
      <x:c r="C63" s="193" t="str">
        <x:v>Backend</x:v>
      </x:c>
      <x:c r="D63" s="85" t="str">
        <x:v>Создать модели User, OtpChallenge и Session</x:v>
      </x:c>
      <x:c r="E63" s="85" t="str">
        <x:v>База хранит пользователей, OTP и обновляемые сессии.</x:v>
      </x:c>
      <x:c r="F63" s="85" t="str">
        <x:v>Миграция применима на чистой базе; phone уникален; code/token представлены хэшами.</x:v>
      </x:c>
      <x:c r="G63" s="85" t="str">
        <x:v>E01-BE-03,E02-QA-02,E03-QA-02</x:v>
      </x:c>
      <x:c r="H63" s="85" t="str">
        <x:v>FR-AUTH-001–FR-AUTH-012</x:v>
      </x:c>
      <x:c r="I63" s="85" t="str">
        <x:v>architecture</x:v>
      </x:c>
      <x:c r="J63" s="200" t="str">
        <x:v>M</x:v>
      </x:c>
      <x:c r="K63" s="200" t="str">
        <x:v>Must</x:v>
      </x:c>
      <x:c r="L63" s="188" t="str">
        <x:v>Запланировано</x:v>
      </x:c>
    </x:row>
    <x:row r="64" ht="66" customHeight="1">
      <x:c r="A64" s="192" t="str">
        <x:v>E04-BE-02</x:v>
      </x:c>
      <x:c r="B64" s="193" t="str">
        <x:v>E04</x:v>
      </x:c>
      <x:c r="C64" s="193" t="str">
        <x:v>Backend</x:v>
      </x:c>
      <x:c r="D64" s="85" t="str">
        <x:v>Реализовать нормализацию телефона и лимиты OTP</x:v>
      </x:c>
      <x:c r="E64" s="85" t="str">
        <x:v>Единые правила телефона и защиты применяются во всех auth-сценариях.</x:v>
      </x:c>
      <x:c r="F64" s="85" t="str">
        <x:v>+7 и 8 преобразуются в E.164; лимиты по телефону и IP покрыты тестами.</x:v>
      </x:c>
      <x:c r="G64" s="85" t="str">
        <x:v>E04-BE-01</x:v>
      </x:c>
      <x:c r="H64" s="85" t="str">
        <x:v>FR-AUTH-001,FR-AUTH-003–FR-AUTH-005</x:v>
      </x:c>
      <x:c r="I64" s="85" t="str">
        <x:v>architecture, configuration</x:v>
      </x:c>
      <x:c r="J64" s="200" t="str">
        <x:v>M</x:v>
      </x:c>
      <x:c r="K64" s="200" t="str">
        <x:v>Must</x:v>
      </x:c>
      <x:c r="L64" s="188" t="str">
        <x:v>Запланировано</x:v>
      </x:c>
    </x:row>
    <x:row r="65" ht="66" customHeight="1">
      <x:c r="A65" s="192" t="str">
        <x:v>E04-BE-03</x:v>
      </x:c>
      <x:c r="B65" s="193" t="str">
        <x:v>E04</x:v>
      </x:c>
      <x:c r="C65" s="193" t="str">
        <x:v>Backend</x:v>
      </x:c>
      <x:c r="D65" s="85" t="str">
        <x:v>Реализовать запрос одноразового кода</x:v>
      </x:c>
      <x:c r="E65" s="85" t="str">
        <x:v>Endpoint создаёт challenge и вызывает SMS-адаптер.</x:v>
      </x:c>
      <x:c r="F65" s="85" t="str">
        <x:v>Ответ содержит challengeId и resendAt; повторный запрос соблюдает таймер; журнал маскирует телефон; код передаётся только SMS-адаптеру.</x:v>
      </x:c>
      <x:c r="G65" s="85" t="str">
        <x:v>E04-BE-02,E01-BE-04</x:v>
      </x:c>
      <x:c r="H65" s="85" t="str">
        <x:v>FR-AUTH-002–FR-AUTH-005</x:v>
      </x:c>
      <x:c r="I65" s="85" t="str">
        <x:v>OpenAPI, testing</x:v>
      </x:c>
      <x:c r="J65" s="200" t="str">
        <x:v>M</x:v>
      </x:c>
      <x:c r="K65" s="200" t="str">
        <x:v>Must</x:v>
      </x:c>
      <x:c r="L65" s="188" t="str">
        <x:v>Запланировано</x:v>
      </x:c>
    </x:row>
    <x:row r="66" ht="66" customHeight="1">
      <x:c r="A66" s="192" t="str">
        <x:v>E04-BE-04</x:v>
      </x:c>
      <x:c r="B66" s="193" t="str">
        <x:v>E04</x:v>
      </x:c>
      <x:c r="C66" s="193" t="str">
        <x:v>Backend</x:v>
      </x:c>
      <x:c r="D66" s="85" t="str">
        <x:v>Реализовать адаптер SMS-провайдера</x:v>
      </x:c>
      <x:c r="E66" s="85" t="str">
        <x:v>Production и test SMS-режимы используют единый интерфейс.</x:v>
      </x:c>
      <x:c r="F66" s="85" t="str">
        <x:v>Production adapter получает credentials из env; test adapter использует фиксированный код; ошибки нормализованы.</x:v>
      </x:c>
      <x:c r="G66" s="85" t="str">
        <x:v>E04-BE-03</x:v>
      </x:c>
      <x:c r="H66" s="85" t="str">
        <x:v>FR-AUTH-002,FR-AUTH-012</x:v>
      </x:c>
      <x:c r="I66" s="85" t="str">
        <x:v>configuration, architecture</x:v>
      </x:c>
      <x:c r="J66" s="200" t="str">
        <x:v>L</x:v>
      </x:c>
      <x:c r="K66" s="200" t="str">
        <x:v>Must</x:v>
      </x:c>
      <x:c r="L66" s="188" t="str">
        <x:v>Запланировано</x:v>
      </x:c>
    </x:row>
    <x:row r="67" ht="66" customHeight="1">
      <x:c r="A67" s="192" t="str">
        <x:v>E04-BE-05</x:v>
      </x:c>
      <x:c r="B67" s="193" t="str">
        <x:v>E04</x:v>
      </x:c>
      <x:c r="C67" s="193" t="str">
        <x:v>Backend</x:v>
      </x:c>
      <x:c r="D67" s="85" t="str">
        <x:v>Реализовать проверку кода и создание customer</x:v>
      </x:c>
      <x:c r="E67" s="85" t="str">
        <x:v>Успешный код создаёт либо находит customer и выдаёт сессию.</x:v>
      </x:c>
      <x:c r="F67" s="85" t="str">
        <x:v>Код потребляется один раз; попытки считаются; повторный вход сохраняет user id.</x:v>
      </x:c>
      <x:c r="G67" s="85" t="str">
        <x:v>E04-BE-01,E04-BE-03</x:v>
      </x:c>
      <x:c r="H67" s="85" t="str">
        <x:v>FR-AUTH-005–FR-AUTH-007</x:v>
      </x:c>
      <x:c r="I67" s="85" t="str">
        <x:v>OpenAPI, testing</x:v>
      </x:c>
      <x:c r="J67" s="200" t="str">
        <x:v>M</x:v>
      </x:c>
      <x:c r="K67" s="200" t="str">
        <x:v>Must</x:v>
      </x:c>
      <x:c r="L67" s="188" t="str">
        <x:v>Запланировано</x:v>
      </x:c>
    </x:row>
    <x:row r="68" ht="66" customHeight="1">
      <x:c r="A68" s="192" t="str">
        <x:v>E04-BE-06</x:v>
      </x:c>
      <x:c r="B68" s="193" t="str">
        <x:v>E04</x:v>
      </x:c>
      <x:c r="C68" s="193" t="str">
        <x:v>Backend</x:v>
      </x:c>
      <x:c r="D68" s="85" t="str">
        <x:v>Реализовать access и rotating refresh tokens</x:v>
      </x:c>
      <x:c r="E68" s="85" t="str">
        <x:v>Сессия безопасно обновляется и отзывается.</x:v>
      </x:c>
      <x:c r="F68" s="85" t="str">
        <x:v>Refresh хранится хэшем; ротация отзывает прошлое значение; logout завершает сессию.</x:v>
      </x:c>
      <x:c r="G68" s="85" t="str">
        <x:v>E04-BE-05</x:v>
      </x:c>
      <x:c r="H68" s="85" t="str">
        <x:v>FR-AUTH-007–FR-AUTH-011</x:v>
      </x:c>
      <x:c r="I68" s="85" t="str">
        <x:v>OpenAPI, architecture</x:v>
      </x:c>
      <x:c r="J68" s="200" t="str">
        <x:v>L</x:v>
      </x:c>
      <x:c r="K68" s="200" t="str">
        <x:v>Must</x:v>
      </x:c>
      <x:c r="L68" s="188" t="str">
        <x:v>Запланировано</x:v>
      </x:c>
    </x:row>
    <x:row r="69" ht="66" customHeight="1">
      <x:c r="A69" s="192" t="str">
        <x:v>E04-BE-07</x:v>
      </x:c>
      <x:c r="B69" s="193" t="str">
        <x:v>E04</x:v>
      </x:c>
      <x:c r="C69" s="193" t="str">
        <x:v>Backend</x:v>
      </x:c>
      <x:c r="D69" s="85" t="str">
        <x:v>Реализовать ролевые guards</x:v>
      </x:c>
      <x:c r="E69" s="85" t="str">
        <x:v>Backend разделяет customer, barista и administrator.</x:v>
      </x:c>
      <x:c r="F69" s="85" t="str">
        <x:v>Каждый защищённый endpoint декларирует роли; доступ покрыт матрицей тестов.</x:v>
      </x:c>
      <x:c r="G69" s="85" t="str">
        <x:v>E04-BE-01,E04-BE-06</x:v>
      </x:c>
      <x:c r="H69" s="85" t="str">
        <x:v>FR-AUTH-010</x:v>
      </x:c>
      <x:c r="I69" s="85" t="str">
        <x:v>architecture, testing</x:v>
      </x:c>
      <x:c r="J69" s="200" t="str">
        <x:v>M</x:v>
      </x:c>
      <x:c r="K69" s="200" t="str">
        <x:v>Must</x:v>
      </x:c>
      <x:c r="L69" s="188" t="str">
        <x:v>Запланировано</x:v>
      </x:c>
    </x:row>
    <x:row r="70" ht="66" customHeight="1">
      <x:c r="A70" s="192" t="str">
        <x:v>E04-BE-08</x:v>
      </x:c>
      <x:c r="B70" s="193" t="str">
        <x:v>E04</x:v>
      </x:c>
      <x:c r="C70" s="193" t="str">
        <x:v>Backend</x:v>
      </x:c>
      <x:c r="D70" s="85" t="str">
        <x:v>Завершить bootstrap administrator и CLI ролей</x:v>
      </x:c>
      <x:c r="E70" s="85" t="str">
        <x:v>Эксплуатационная команда управляет сотрудниками.</x:v>
      </x:c>
      <x:c r="F70" s="85" t="str">
        <x:v>Upsert по телефону идемпотентен; роли валидируются; аудит команды доступен в журнале.</x:v>
      </x:c>
      <x:c r="G70" s="85" t="str">
        <x:v>E01-BE-06,E04-BE-01</x:v>
      </x:c>
      <x:c r="H70" s="85" t="str">
        <x:v>FR-AUTH-010</x:v>
      </x:c>
      <x:c r="I70" s="85" t="str">
        <x:v>README, deployment</x:v>
      </x:c>
      <x:c r="J70" s="200" t="str">
        <x:v>S</x:v>
      </x:c>
      <x:c r="K70" s="200" t="str">
        <x:v>Must</x:v>
      </x:c>
      <x:c r="L70" s="188" t="str">
        <x:v>Запланировано</x:v>
      </x:c>
    </x:row>
    <x:row r="71" ht="66" customHeight="1">
      <x:c r="A71" s="192" t="str">
        <x:v>E04-FO-01</x:v>
      </x:c>
      <x:c r="B71" s="193" t="str">
        <x:v>E04</x:v>
      </x:c>
      <x:c r="C71" s="193" t="str">
        <x:v>Front-office</x:v>
      </x:c>
      <x:c r="D71" s="85" t="str">
        <x:v>Реализовать auth API-клиент и Pinia store</x:v>
      </x:c>
      <x:c r="E71" s="85" t="str">
        <x:v>Front-office управляет запросом кода, проверкой и сессией.</x:v>
      </x:c>
      <x:c r="F71" s="85" t="str">
        <x:v>Состояния loading/error/success типизированы; access token хранится в памяти; refresh выполняется централизованно.</x:v>
      </x:c>
      <x:c r="G71" s="85" t="str">
        <x:v>E04-BE-03,E04-BE-05,E02-QA-02</x:v>
      </x:c>
      <x:c r="H71" s="85" t="str">
        <x:v>FR-AUTH-002–FR-AUTH-009</x:v>
      </x:c>
      <x:c r="I71" s="85" t="str">
        <x:v>architecture, API contract</x:v>
      </x:c>
      <x:c r="J71" s="200" t="str">
        <x:v>M</x:v>
      </x:c>
      <x:c r="K71" s="200" t="str">
        <x:v>Must</x:v>
      </x:c>
      <x:c r="L71" s="188" t="str">
        <x:v>Запланировано</x:v>
      </x:c>
    </x:row>
    <x:row r="72" ht="66" customHeight="1">
      <x:c r="A72" s="192" t="str">
        <x:v>E04-FO-02</x:v>
      </x:c>
      <x:c r="B72" s="193" t="str">
        <x:v>E04</x:v>
      </x:c>
      <x:c r="C72" s="193" t="str">
        <x:v>Front-office</x:v>
      </x:c>
      <x:c r="D72" s="85" t="str">
        <x:v>Интегрировать экраны телефона и OTP</x:v>
      </x:c>
      <x:c r="E72" s="85" t="str">
        <x:v>Согласованные Storybook-композиции работают с реальным API.</x:v>
      </x:c>
      <x:c r="F72" s="85" t="str">
        <x:v>Таймер, paste, ошибки, resend и success соответствуют контракту; stories остаются актуальными.</x:v>
      </x:c>
      <x:c r="G72" s="85" t="str">
        <x:v>E04-FO-01,E02-FO-16</x:v>
      </x:c>
      <x:c r="H72" s="85" t="str">
        <x:v>FR-AUTH-001–FR-AUTH-006</x:v>
      </x:c>
      <x:c r="I72" s="85" t="str">
        <x:v>routes, testing</x:v>
      </x:c>
      <x:c r="J72" s="200" t="str">
        <x:v>M</x:v>
      </x:c>
      <x:c r="K72" s="200" t="str">
        <x:v>Must</x:v>
      </x:c>
      <x:c r="L72" s="188" t="str">
        <x:v>Запланировано</x:v>
      </x:c>
    </x:row>
    <x:row r="73" ht="66" customHeight="1">
      <x:c r="A73" s="192" t="str">
        <x:v>E04-FO-03</x:v>
      </x:c>
      <x:c r="B73" s="193" t="str">
        <x:v>E04</x:v>
      </x:c>
      <x:c r="C73" s="193" t="str">
        <x:v>Front-office</x:v>
      </x:c>
      <x:c r="D73" s="85" t="str">
        <x:v>Реализовать восстановление сессии и выход</x:v>
      </x:c>
      <x:c r="E73" s="85" t="str">
        <x:v>Customer сохраняет вход между перезагрузками и завершает сессию.</x:v>
      </x:c>
      <x:c r="F73" s="85" t="str">
        <x:v>Bootstrap refresh выполняется один раз; 401 запускает единичное обновление; logout очищает store.</x:v>
      </x:c>
      <x:c r="G73" s="85" t="str">
        <x:v>E04-FO-01,E04-BE-06</x:v>
      </x:c>
      <x:c r="H73" s="85" t="str">
        <x:v>FR-AUTH-007–FR-AUTH-011</x:v>
      </x:c>
      <x:c r="I73" s="85" t="str">
        <x:v>architecture, testing</x:v>
      </x:c>
      <x:c r="J73" s="200" t="str">
        <x:v>M</x:v>
      </x:c>
      <x:c r="K73" s="200" t="str">
        <x:v>Must</x:v>
      </x:c>
      <x:c r="L73" s="188" t="str">
        <x:v>Запланировано</x:v>
      </x:c>
    </x:row>
    <x:row r="74" ht="66" customHeight="1">
      <x:c r="A74" s="192" t="str">
        <x:v>E04-FO-04</x:v>
      </x:c>
      <x:c r="B74" s="193" t="str">
        <x:v>E04</x:v>
      </x:c>
      <x:c r="C74" s="193" t="str">
        <x:v>Front-office</x:v>
      </x:c>
      <x:c r="D74" s="85" t="str">
        <x:v>Добавить auth guard оформления и истории</x:v>
      </x:c>
      <x:c r="E74" s="85" t="str">
        <x:v>Защищённые клиентские маршруты ведут гостя к авторизации и возвращают к цели.</x:v>
      </x:c>
      <x:c r="F74" s="85" t="str">
        <x:v>Return URL сохраняется; авторизованный customer открывает исходный маршрут.</x:v>
      </x:c>
      <x:c r="G74" s="85" t="str">
        <x:v>E04-FO-02,E04-FO-03</x:v>
      </x:c>
      <x:c r="H74" s="85" t="str">
        <x:v>FR-AUTH-009</x:v>
      </x:c>
      <x:c r="I74" s="85" t="str">
        <x:v>routes</x:v>
      </x:c>
      <x:c r="J74" s="200" t="str">
        <x:v>S</x:v>
      </x:c>
      <x:c r="K74" s="200" t="str">
        <x:v>Must</x:v>
      </x:c>
      <x:c r="L74" s="188" t="str">
        <x:v>Запланировано</x:v>
      </x:c>
    </x:row>
    <x:row r="75" ht="66" customHeight="1">
      <x:c r="A75" s="192" t="str">
        <x:v>E04-BO-01</x:v>
      </x:c>
      <x:c r="B75" s="193" t="str">
        <x:v>E04</x:v>
      </x:c>
      <x:c r="C75" s="193" t="str">
        <x:v>Back-office</x:v>
      </x:c>
      <x:c r="D75" s="85" t="str">
        <x:v>Реализовать staff auth API-клиент и store</x:v>
      </x:c>
      <x:c r="E75" s="85" t="str">
        <x:v>Back-office управляет OTP-входом и сессией сотрудника.</x:v>
      </x:c>
      <x:c r="F75" s="85" t="str">
        <x:v>Invalid role отображается отдельным состоянием; refresh и logout работают централизованно.</x:v>
      </x:c>
      <x:c r="G75" s="85" t="str">
        <x:v>E04-BE-03,E04-BE-06,E03-QA-02</x:v>
      </x:c>
      <x:c r="H75" s="85" t="str">
        <x:v>FR-AUTH-007–FR-AUTH-011</x:v>
      </x:c>
      <x:c r="I75" s="85" t="str">
        <x:v>architecture, API contract</x:v>
      </x:c>
      <x:c r="J75" s="200" t="str">
        <x:v>M</x:v>
      </x:c>
      <x:c r="K75" s="200" t="str">
        <x:v>Must</x:v>
      </x:c>
      <x:c r="L75" s="188" t="str">
        <x:v>Запланировано</x:v>
      </x:c>
    </x:row>
    <x:row r="76" ht="66" customHeight="1">
      <x:c r="A76" s="192" t="str">
        <x:v>E04-BO-02</x:v>
      </x:c>
      <x:c r="B76" s="193" t="str">
        <x:v>E04</x:v>
      </x:c>
      <x:c r="C76" s="193" t="str">
        <x:v>Back-office</x:v>
      </x:c>
      <x:c r="D76" s="85" t="str">
        <x:v>Интегрировать StaffLoginPage</x:v>
      </x:c>
      <x:c r="E76" s="85" t="str">
        <x:v>Сотрудник входит по телефону и коду.</x:v>
      </x:c>
      <x:c r="F76" s="85" t="str">
        <x:v>Все Storybook-состояния работают с API; успешный вход открывает очередь.</x:v>
      </x:c>
      <x:c r="G76" s="85" t="str">
        <x:v>E04-BO-01,E03-BO-18</x:v>
      </x:c>
      <x:c r="H76" s="85" t="str">
        <x:v>FR-AUTH-010</x:v>
      </x:c>
      <x:c r="I76" s="85" t="str">
        <x:v>routes, testing</x:v>
      </x:c>
      <x:c r="J76" s="200" t="str">
        <x:v>M</x:v>
      </x:c>
      <x:c r="K76" s="200" t="str">
        <x:v>Must</x:v>
      </x:c>
      <x:c r="L76" s="188" t="str">
        <x:v>Запланировано</x:v>
      </x:c>
    </x:row>
    <x:row r="77" ht="66" customHeight="1">
      <x:c r="A77" s="192" t="str">
        <x:v>E04-BO-03</x:v>
      </x:c>
      <x:c r="B77" s="193" t="str">
        <x:v>E04</x:v>
      </x:c>
      <x:c r="C77" s="193" t="str">
        <x:v>Back-office</x:v>
      </x:c>
      <x:c r="D77" s="85" t="str">
        <x:v>Реализовать ролевую навигацию и guards</x:v>
      </x:c>
      <x:c r="E77" s="85" t="str">
        <x:v>Barista видит Заказы и Доступность; administrator получает раздел Меню.</x:v>
      </x:c>
      <x:c r="F77" s="85" t="str">
        <x:v>Маршруты проверяют роль; прямой URL возвращает контролируемый экран доступа.</x:v>
      </x:c>
      <x:c r="G77" s="85" t="str">
        <x:v>E04-BO-01,E04-BE-07</x:v>
      </x:c>
      <x:c r="H77" s="85" t="str">
        <x:v>FR-AUTH-010</x:v>
      </x:c>
      <x:c r="I77" s="85" t="str">
        <x:v>routes, architecture</x:v>
      </x:c>
      <x:c r="J77" s="200" t="str">
        <x:v>M</x:v>
      </x:c>
      <x:c r="K77" s="200" t="str">
        <x:v>Must</x:v>
      </x:c>
      <x:c r="L77" s="188" t="str">
        <x:v>Запланировано</x:v>
      </x:c>
    </x:row>
    <x:row r="78" ht="66" customHeight="1">
      <x:c r="A78" s="192" t="str">
        <x:v>E04-QA-01</x:v>
      </x:c>
      <x:c r="B78" s="193" t="str">
        <x:v>E04</x:v>
      </x:c>
      <x:c r="C78" s="193" t="str">
        <x:v>QA</x:v>
      </x:c>
      <x:c r="D78" s="85" t="str">
        <x:v>Покрыть auth API интеграционными тестами</x:v>
      </x:c>
      <x:c r="E78" s="85" t="str">
        <x:v>Критические OTP и session-сценарии подтверждены с PostgreSQL.</x:v>
      </x:c>
      <x:c r="F78" s="85" t="str">
        <x:v>Успех, expiry, attempts, rate limit, rotation, logout и role matrix проходят автоматически.</x:v>
      </x:c>
      <x:c r="G78" s="85" t="str">
        <x:v>E04-BE-02–E04-BE-08</x:v>
      </x:c>
      <x:c r="H78" s="85" t="str">
        <x:v>FR-AUTH-001–FR-AUTH-012</x:v>
      </x:c>
      <x:c r="I78" s="85" t="str">
        <x:v>testing</x:v>
      </x:c>
      <x:c r="J78" s="200" t="str">
        <x:v>L</x:v>
      </x:c>
      <x:c r="K78" s="200" t="str">
        <x:v>Must</x:v>
      </x:c>
      <x:c r="L78" s="188" t="str">
        <x:v>Запланировано</x:v>
      </x:c>
    </x:row>
    <x:row r="79" ht="66" customHeight="1">
      <x:c r="A79" s="192" t="str">
        <x:v>E04-QA-02</x:v>
      </x:c>
      <x:c r="B79" s="193" t="str">
        <x:v>E04</x:v>
      </x:c>
      <x:c r="C79" s="193" t="str">
        <x:v>QA</x:v>
      </x:c>
      <x:c r="D79" s="85" t="str">
        <x:v>Покрыть телефонный вход browser E2E</x:v>
      </x:c>
      <x:c r="E79" s="85" t="str">
        <x:v>Customer и staff проходят вход в реальных приложениях test-среды.</x:v>
      </x:c>
      <x:c r="F79" s="85" t="str">
        <x:v>Первый вход, повторный вход, refresh, logout и invalid role проходят в браузере.</x:v>
      </x:c>
      <x:c r="G79" s="85" t="str">
        <x:v>E04-FO-04,E04-BO-03,E04-QA-01</x:v>
      </x:c>
      <x:c r="H79" s="85" t="str">
        <x:v>FR-AUTH-001–FR-AUTH-012</x:v>
      </x:c>
      <x:c r="I79" s="85" t="str">
        <x:v>testing</x:v>
      </x:c>
      <x:c r="J79" s="200" t="str">
        <x:v>L</x:v>
      </x:c>
      <x:c r="K79" s="200" t="str">
        <x:v>Must</x:v>
      </x:c>
      <x:c r="L79" s="188" t="str">
        <x:v>Запланировано</x:v>
      </x:c>
    </x:row>
    <x:row r="80" ht="66" customHeight="1">
      <x:c r="A80" s="192" t="str">
        <x:v>E05-BE-01</x:v>
      </x:c>
      <x:c r="B80" s="193" t="str">
        <x:v>E05</x:v>
      </x:c>
      <x:c r="C80" s="193" t="str">
        <x:v>Backend</x:v>
      </x:c>
      <x:c r="D80" s="85" t="str">
        <x:v>Создать схему каталога</x:v>
      </x:c>
      <x:c r="E80" s="85" t="str">
        <x:v>База содержит категории, товары, варианты, группы добавок, добавки и связи.</x:v>
      </x:c>
      <x:c r="F80" s="85" t="str">
        <x:v>Ограничения порядка, min/max и архивирования заданы миграциями; индексы покрывают публичный запрос.</x:v>
      </x:c>
      <x:c r="G80" s="85" t="str">
        <x:v>E01-BE-03,E02-QA-02,E03-QA-02</x:v>
      </x:c>
      <x:c r="H80" s="85" t="str">
        <x:v>FR-CAT-001–FR-CAT-010</x:v>
      </x:c>
      <x:c r="I80" s="85" t="str">
        <x:v>architecture</x:v>
      </x:c>
      <x:c r="J80" s="200" t="str">
        <x:v>L</x:v>
      </x:c>
      <x:c r="K80" s="200" t="str">
        <x:v>Must</x:v>
      </x:c>
      <x:c r="L80" s="188" t="str">
        <x:v>Запланировано</x:v>
      </x:c>
    </x:row>
    <x:row r="81" ht="66" customHeight="1">
      <x:c r="A81" s="192" t="str">
        <x:v>E05-BE-02</x:v>
      </x:c>
      <x:c r="B81" s="193" t="str">
        <x:v>E05</x:v>
      </x:c>
      <x:c r="C81" s="193" t="str">
        <x:v>Backend</x:v>
      </x:c>
      <x:c r="D81" s="85" t="str">
        <x:v>Реализовать доменные правила каталога</x:v>
      </x:c>
      <x:c r="E81" s="85" t="str">
        <x:v>Сервисы проверяют структуру, цены и правила выбора.</x:v>
      </x:c>
      <x:c r="F81" s="85" t="str">
        <x:v>Single использует max=1; min/max валидируются; денежные значения целочисленные; тесты покрывают границы.</x:v>
      </x:c>
      <x:c r="G81" s="85" t="str">
        <x:v>E05-BE-01</x:v>
      </x:c>
      <x:c r="H81" s="85" t="str">
        <x:v>FR-CAT-004–FR-CAT-011</x:v>
      </x:c>
      <x:c r="I81" s="85" t="str">
        <x:v>architecture, testing</x:v>
      </x:c>
      <x:c r="J81" s="200" t="str">
        <x:v>M</x:v>
      </x:c>
      <x:c r="K81" s="200" t="str">
        <x:v>Must</x:v>
      </x:c>
      <x:c r="L81" s="188" t="str">
        <x:v>Запланировано</x:v>
      </x:c>
    </x:row>
    <x:row r="82" ht="66" customHeight="1">
      <x:c r="A82" s="192" t="str">
        <x:v>E05-BE-03</x:v>
      </x:c>
      <x:c r="B82" s="193" t="str">
        <x:v>E05</x:v>
      </x:c>
      <x:c r="C82" s="193" t="str">
        <x:v>Backend</x:v>
      </x:c>
      <x:c r="D82" s="85" t="str">
        <x:v>Реализовать публичный агрегат меню</x:v>
      </x:c>
      <x:c r="E82" s="85" t="str">
        <x:v>Endpoint возвращает готовое дерево меню и состояние приёма заказов.</x:v>
      </x:c>
      <x:c r="F82" s="85" t="str">
        <x:v>Порядок стабилен; выдача содержит только опубликованные элементы; availability передаётся; запрос покрыт интеграционным тестом.</x:v>
      </x:c>
      <x:c r="G82" s="85" t="str">
        <x:v>E05-BE-01,E05-BE-02,E01-BE-04</x:v>
      </x:c>
      <x:c r="H82" s="85" t="str">
        <x:v>FR-CAT-001–FR-CAT-012,FR-CAT-015</x:v>
      </x:c>
      <x:c r="I82" s="85" t="str">
        <x:v>OpenAPI, testing</x:v>
      </x:c>
      <x:c r="J82" s="200" t="str">
        <x:v>L</x:v>
      </x:c>
      <x:c r="K82" s="200" t="str">
        <x:v>Must</x:v>
      </x:c>
      <x:c r="L82" s="188" t="str">
        <x:v>Запланировано</x:v>
      </x:c>
    </x:row>
    <x:row r="83" ht="66" customHeight="1">
      <x:c r="A83" s="192" t="str">
        <x:v>E05-BE-04</x:v>
      </x:c>
      <x:c r="B83" s="193" t="str">
        <x:v>E05</x:v>
      </x:c>
      <x:c r="C83" s="193" t="str">
        <x:v>Backend</x:v>
      </x:c>
      <x:c r="D83" s="85" t="str">
        <x:v>Добавить ETag и кэш публичного меню</x:v>
      </x:c>
      <x:c r="E83" s="85" t="str">
        <x:v>Клиенты экономно обновляют меню.</x:v>
      </x:c>
      <x:c r="F83" s="85" t="str">
        <x:v>ETag меняется при структуре, цене, доступности и intake; 304 возвращается при совпадении.</x:v>
      </x:c>
      <x:c r="G83" s="85" t="str">
        <x:v>E05-BE-03</x:v>
      </x:c>
      <x:c r="H83" s="85" t="str">
        <x:v>FR-CAT-012</x:v>
      </x:c>
      <x:c r="I83" s="85" t="str">
        <x:v>architecture, OpenAPI</x:v>
      </x:c>
      <x:c r="J83" s="200" t="str">
        <x:v>M</x:v>
      </x:c>
      <x:c r="K83" s="200" t="str">
        <x:v>Must</x:v>
      </x:c>
      <x:c r="L83" s="188" t="str">
        <x:v>Запланировано</x:v>
      </x:c>
    </x:row>
    <x:row r="84" ht="66" customHeight="1">
      <x:c r="A84" s="192" t="str">
        <x:v>E05-BE-05</x:v>
      </x:c>
      <x:c r="B84" s="193" t="str">
        <x:v>E05</x:v>
      </x:c>
      <x:c r="C84" s="193" t="str">
        <x:v>Backend</x:v>
      </x:c>
      <x:c r="D84" s="85" t="str">
        <x:v>Реализовать хранение и обработку изображений</x:v>
      </x:c>
      <x:c r="E84" s="85" t="str">
        <x:v>Backend принимает изображение и создаёт оптимизированный WebP.</x:v>
      </x:c>
      <x:c r="F84" s="85" t="str">
        <x:v>MIME и 5 МБ проверяются; storage key уникален; metadata сохранена; persistent volume используется в production.</x:v>
      </x:c>
      <x:c r="G84" s="85" t="str">
        <x:v>E05-BE-01</x:v>
      </x:c>
      <x:c r="H84" s="85" t="str">
        <x:v>FR-CAT-013,FR-CAT-014</x:v>
      </x:c>
      <x:c r="I84" s="85" t="str">
        <x:v>architecture, configuration, deployment</x:v>
      </x:c>
      <x:c r="J84" s="200" t="str">
        <x:v>L</x:v>
      </x:c>
      <x:c r="K84" s="200" t="str">
        <x:v>Must</x:v>
      </x:c>
      <x:c r="L84" s="188" t="str">
        <x:v>Запланировано</x:v>
      </x:c>
    </x:row>
    <x:row r="85" ht="66" customHeight="1">
      <x:c r="A85" s="192" t="str">
        <x:v>E05-FO-01</x:v>
      </x:c>
      <x:c r="B85" s="193" t="str">
        <x:v>E05</x:v>
      </x:c>
      <x:c r="C85" s="193" t="str">
        <x:v>Front-office</x:v>
      </x:c>
      <x:c r="D85" s="85" t="str">
        <x:v>Реализовать клиент публичного меню</x:v>
      </x:c>
      <x:c r="E85" s="85" t="str">
        <x:v>Front-office получает, типизирует и кэширует меню.</x:v>
      </x:c>
      <x:c r="F85" s="85" t="str">
        <x:v>ETag поддержан; ошибки преобразуются в UI-состояния; contract snapshot зафиксирован.</x:v>
      </x:c>
      <x:c r="G85" s="85" t="str">
        <x:v>E05-BE-03,E05-BE-04,E02-QA-02</x:v>
      </x:c>
      <x:c r="H85" s="85" t="str">
        <x:v>FR-CAT-001–FR-CAT-015</x:v>
      </x:c>
      <x:c r="I85" s="85" t="str">
        <x:v>API contract, architecture</x:v>
      </x:c>
      <x:c r="J85" s="200" t="str">
        <x:v>M</x:v>
      </x:c>
      <x:c r="K85" s="200" t="str">
        <x:v>Must</x:v>
      </x:c>
      <x:c r="L85" s="188" t="str">
        <x:v>Запланировано</x:v>
      </x:c>
    </x:row>
    <x:row r="86" ht="66" customHeight="1">
      <x:c r="A86" s="192" t="str">
        <x:v>E05-FO-02</x:v>
      </x:c>
      <x:c r="B86" s="193" t="str">
        <x:v>E05</x:v>
      </x:c>
      <x:c r="C86" s="193" t="str">
        <x:v>Front-office</x:v>
      </x:c>
      <x:c r="D86" s="85" t="str">
        <x:v>Интегрировать MenuPage</x:v>
      </x:c>
      <x:c r="E86" s="85" t="str">
        <x:v>Главный экран показывает реальное меню.</x:v>
      </x:c>
      <x:c r="F86" s="85" t="str">
        <x:v>Категории и товары следуют порядку; loading, error, intake closed и empty states соответствуют Storybook.</x:v>
      </x:c>
      <x:c r="G86" s="85" t="str">
        <x:v>E05-FO-01,E02-FO-14</x:v>
      </x:c>
      <x:c r="H86" s="85" t="str">
        <x:v>FR-CAT-001–FR-CAT-006,FR-CAT-015</x:v>
      </x:c>
      <x:c r="I86" s="85" t="str">
        <x:v>routes, testing</x:v>
      </x:c>
      <x:c r="J86" s="200" t="str">
        <x:v>M</x:v>
      </x:c>
      <x:c r="K86" s="200" t="str">
        <x:v>Must</x:v>
      </x:c>
      <x:c r="L86" s="188" t="str">
        <x:v>Запланировано</x:v>
      </x:c>
    </x:row>
    <x:row r="87" ht="66" customHeight="1">
      <x:c r="A87" s="192" t="str">
        <x:v>E05-FO-03</x:v>
      </x:c>
      <x:c r="B87" s="193" t="str">
        <x:v>E05</x:v>
      </x:c>
      <x:c r="C87" s="193" t="str">
        <x:v>Front-office</x:v>
      </x:c>
      <x:c r="D87" s="85" t="str">
        <x:v>Интегрировать ProductSheet</x:v>
      </x:c>
      <x:c r="E87" s="85" t="str">
        <x:v>Клиент выбирает размер и добавки по серверной модели.</x:v>
      </x:c>
      <x:c r="F87" s="85" t="str">
        <x:v>Правила single/multiple/min/max работают; итог обновляется; submit активируется при валидной конфигурации.</x:v>
      </x:c>
      <x:c r="G87" s="85" t="str">
        <x:v>E05-FO-01,E02-FO-15</x:v>
      </x:c>
      <x:c r="H87" s="85" t="str">
        <x:v>FR-CAT-004–FR-CAT-011</x:v>
      </x:c>
      <x:c r="I87" s="85" t="str">
        <x:v>testing</x:v>
      </x:c>
      <x:c r="J87" s="200" t="str">
        <x:v>L</x:v>
      </x:c>
      <x:c r="K87" s="200" t="str">
        <x:v>Must</x:v>
      </x:c>
      <x:c r="L87" s="188" t="str">
        <x:v>Запланировано</x:v>
      </x:c>
    </x:row>
    <x:row r="88" ht="66" customHeight="1">
      <x:c r="A88" s="192" t="str">
        <x:v>E05-FO-04</x:v>
      </x:c>
      <x:c r="B88" s="193" t="str">
        <x:v>E05</x:v>
      </x:c>
      <x:c r="C88" s="193" t="str">
        <x:v>Front-office</x:v>
      </x:c>
      <x:c r="D88" s="85" t="str">
        <x:v>Интегрировать изображения и fallback</x:v>
      </x:c>
      <x:c r="E88" s="85" t="str">
        <x:v>Меню стабильно показывает изображения на мобильной сети.</x:v>
      </x:c>
      <x:c r="F88" s="85" t="str">
        <x:v>WebP используется; lazy loading включён; fallback сохраняет размеры карточки.</x:v>
      </x:c>
      <x:c r="G88" s="85" t="str">
        <x:v>E05-BE-05,E05-FO-02</x:v>
      </x:c>
      <x:c r="H88" s="85" t="str">
        <x:v>FR-CAT-003,FR-CAT-013,FR-CAT-014</x:v>
      </x:c>
      <x:c r="I88" s="85" t="str">
        <x:v>testing</x:v>
      </x:c>
      <x:c r="J88" s="200" t="str">
        <x:v>S</x:v>
      </x:c>
      <x:c r="K88" s="200" t="str">
        <x:v>Must</x:v>
      </x:c>
      <x:c r="L88" s="188" t="str">
        <x:v>Запланировано</x:v>
      </x:c>
    </x:row>
    <x:row r="89" ht="66" customHeight="1">
      <x:c r="A89" s="192" t="str">
        <x:v>E05-FO-05</x:v>
      </x:c>
      <x:c r="B89" s="193" t="str">
        <x:v>E05</x:v>
      </x:c>
      <x:c r="C89" s="193" t="str">
        <x:v>Front-office</x:v>
      </x:c>
      <x:c r="D89" s="85" t="str">
        <x:v>Сохранить позицию и навигацию по категориям</x:v>
      </x:c>
      <x:c r="E89" s="85" t="str">
        <x:v>Возврат из карточки сохраняет контекст просмотра.</x:v>
      </x:c>
      <x:c r="F89" s="85" t="str">
        <x:v>Scroll position восстанавливается; category navigation синхронизируется; deep link `/` стабилен.</x:v>
      </x:c>
      <x:c r="G89" s="85" t="str">
        <x:v>E05-FO-02</x:v>
      </x:c>
      <x:c r="H89" s="85" t="str">
        <x:v>FR-CAT-001</x:v>
      </x:c>
      <x:c r="I89" s="85" t="str">
        <x:v>routes, testing</x:v>
      </x:c>
      <x:c r="J89" s="200" t="str">
        <x:v>M</x:v>
      </x:c>
      <x:c r="K89" s="200" t="str">
        <x:v>Must</x:v>
      </x:c>
      <x:c r="L89" s="188" t="str">
        <x:v>Запланировано</x:v>
      </x:c>
    </x:row>
    <x:row r="90" ht="66" customHeight="1">
      <x:c r="A90" s="192" t="str">
        <x:v>E05-QA-01</x:v>
      </x:c>
      <x:c r="B90" s="193" t="str">
        <x:v>E05</x:v>
      </x:c>
      <x:c r="C90" s="193" t="str">
        <x:v>QA</x:v>
      </x:c>
      <x:c r="D90" s="85" t="str">
        <x:v>Покрыть каталог backend тестами</x:v>
      </x:c>
      <x:c r="E90" s="85" t="str">
        <x:v>Схема и публичный агрегат подтверждены на реальной БД.</x:v>
      </x:c>
      <x:c r="F90" s="85" t="str">
        <x:v>Порядок, архив, availability, min/max, цены, ETag и media validation проходят автоматически.</x:v>
      </x:c>
      <x:c r="G90" s="85" t="str">
        <x:v>E05-BE-01–E05-BE-05</x:v>
      </x:c>
      <x:c r="H90" s="85" t="str">
        <x:v>FR-CAT-001–FR-CAT-015</x:v>
      </x:c>
      <x:c r="I90" s="85" t="str">
        <x:v>testing</x:v>
      </x:c>
      <x:c r="J90" s="200" t="str">
        <x:v>L</x:v>
      </x:c>
      <x:c r="K90" s="200" t="str">
        <x:v>Must</x:v>
      </x:c>
      <x:c r="L90" s="188" t="str">
        <x:v>Запланировано</x:v>
      </x:c>
    </x:row>
    <x:row r="91" ht="66" customHeight="1">
      <x:c r="A91" s="192" t="str">
        <x:v>E05-QA-02</x:v>
      </x:c>
      <x:c r="B91" s="193" t="str">
        <x:v>E05</x:v>
      </x:c>
      <x:c r="C91" s="193" t="str">
        <x:v>QA</x:v>
      </x:c>
      <x:c r="D91" s="85" t="str">
        <x:v>Покрыть меню front-office browser E2E</x:v>
      </x:c>
      <x:c r="E91" s="85" t="str">
        <x:v>Клиент проходит просмотр и конфигурацию товара.</x:v>
      </x:c>
      <x:c r="F91" s="85" t="str">
        <x:v>Категории, размер, single/multiple добавки, unavailable и intake closed подтверждены в браузере.</x:v>
      </x:c>
      <x:c r="G91" s="85" t="str">
        <x:v>E05-FO-02–E05-FO-05,E05-QA-01</x:v>
      </x:c>
      <x:c r="H91" s="85" t="str">
        <x:v>FR-CAT-001–FR-CAT-015</x:v>
      </x:c>
      <x:c r="I91" s="85" t="str">
        <x:v>testing</x:v>
      </x:c>
      <x:c r="J91" s="200" t="str">
        <x:v>L</x:v>
      </x:c>
      <x:c r="K91" s="200" t="str">
        <x:v>Must</x:v>
      </x:c>
      <x:c r="L91" s="188" t="str">
        <x:v>Запланировано</x:v>
      </x:c>
    </x:row>
    <x:row r="92" ht="66" customHeight="1">
      <x:c r="A92" s="192" t="str">
        <x:v>E06-BE-01</x:v>
      </x:c>
      <x:c r="B92" s="193" t="str">
        <x:v>E06</x:v>
      </x:c>
      <x:c r="C92" s="193" t="str">
        <x:v>Backend</x:v>
      </x:c>
      <x:c r="D92" s="85" t="str">
        <x:v>Реализовать CRUD категорий</x:v>
      </x:c>
      <x:c r="E92" s="85" t="str">
        <x:v>Administrator управляет категориями через API.</x:v>
      </x:c>
      <x:c r="F92" s="85" t="str">
        <x:v>Create, update, reorder и archive защищены ролью; аудит содержит изменения.</x:v>
      </x:c>
      <x:c r="G92" s="85" t="str">
        <x:v>E05-BE-01,E04-BE-07</x:v>
      </x:c>
      <x:c r="H92" s="85" t="str">
        <x:v>FR-ADM-001,FR-ADM-010</x:v>
      </x:c>
      <x:c r="I92" s="85" t="str">
        <x:v>OpenAPI, testing</x:v>
      </x:c>
      <x:c r="J92" s="200" t="str">
        <x:v>M</x:v>
      </x:c>
      <x:c r="K92" s="200" t="str">
        <x:v>Must</x:v>
      </x:c>
      <x:c r="L92" s="188" t="str">
        <x:v>Запланировано</x:v>
      </x:c>
    </x:row>
    <x:row r="93" ht="66" customHeight="1">
      <x:c r="A93" s="192" t="str">
        <x:v>E06-BE-02</x:v>
      </x:c>
      <x:c r="B93" s="193" t="str">
        <x:v>E06</x:v>
      </x:c>
      <x:c r="C93" s="193" t="str">
        <x:v>Backend</x:v>
      </x:c>
      <x:c r="D93" s="85" t="str">
        <x:v>Реализовать CRUD товаров</x:v>
      </x:c>
      <x:c r="E93" s="85" t="str">
        <x:v>Administrator управляет товарами и изображением через API.</x:v>
      </x:c>
      <x:c r="F93" s="85" t="str">
        <x:v>Связь с категорией валидируется; порядок стабилен; archive сохраняет заказы.</x:v>
      </x:c>
      <x:c r="G93" s="85" t="str">
        <x:v>E06-BE-01,E05-BE-05</x:v>
      </x:c>
      <x:c r="H93" s="85" t="str">
        <x:v>FR-ADM-002,FR-ADM-003,FR-ADM-009</x:v>
      </x:c>
      <x:c r="I93" s="85" t="str">
        <x:v>OpenAPI, testing</x:v>
      </x:c>
      <x:c r="J93" s="200" t="str">
        <x:v>M</x:v>
      </x:c>
      <x:c r="K93" s="200" t="str">
        <x:v>Must</x:v>
      </x:c>
      <x:c r="L93" s="188" t="str">
        <x:v>Запланировано</x:v>
      </x:c>
    </x:row>
    <x:row r="94" ht="66" customHeight="1">
      <x:c r="A94" s="192" t="str">
        <x:v>E06-BE-03</x:v>
      </x:c>
      <x:c r="B94" s="193" t="str">
        <x:v>E06</x:v>
      </x:c>
      <x:c r="C94" s="193" t="str">
        <x:v>Backend</x:v>
      </x:c>
      <x:c r="D94" s="85" t="str">
        <x:v>Реализовать CRUD вариантов размеров и цен</x:v>
      </x:c>
      <x:c r="E94" s="85" t="str">
        <x:v>Administrator управляет вариантами товара.</x:v>
      </x:c>
      <x:c r="F94" s="85" t="str">
        <x:v>Хотя бы один активный вариант требуется для публикации товара; price_minor валидируется; reorder работает.</x:v>
      </x:c>
      <x:c r="G94" s="85" t="str">
        <x:v>E06-BE-02</x:v>
      </x:c>
      <x:c r="H94" s="85" t="str">
        <x:v>FR-ADM-004</x:v>
      </x:c>
      <x:c r="I94" s="85" t="str">
        <x:v>OpenAPI, testing</x:v>
      </x:c>
      <x:c r="J94" s="200" t="str">
        <x:v>M</x:v>
      </x:c>
      <x:c r="K94" s="200" t="str">
        <x:v>Must</x:v>
      </x:c>
      <x:c r="L94" s="188" t="str">
        <x:v>Запланировано</x:v>
      </x:c>
    </x:row>
    <x:row r="95" ht="66" customHeight="1">
      <x:c r="A95" s="192" t="str">
        <x:v>E06-BE-04</x:v>
      </x:c>
      <x:c r="B95" s="193" t="str">
        <x:v>E06</x:v>
      </x:c>
      <x:c r="C95" s="193" t="str">
        <x:v>Backend</x:v>
      </x:c>
      <x:c r="D95" s="85" t="str">
        <x:v>Реализовать CRUD групп добавок</x:v>
      </x:c>
      <x:c r="E95" s="85" t="str">
        <x:v>Administrator управляет правилами выбора.</x:v>
      </x:c>
      <x:c r="F95" s="85" t="str">
        <x:v>Single/multiple/min/max проверяются; archive сохраняет снимки заказов.</x:v>
      </x:c>
      <x:c r="G95" s="85" t="str">
        <x:v>E05-BE-02,E04-BE-07</x:v>
      </x:c>
      <x:c r="H95" s="85" t="str">
        <x:v>FR-ADM-005</x:v>
      </x:c>
      <x:c r="I95" s="85" t="str">
        <x:v>OpenAPI, testing</x:v>
      </x:c>
      <x:c r="J95" s="200" t="str">
        <x:v>M</x:v>
      </x:c>
      <x:c r="K95" s="200" t="str">
        <x:v>Must</x:v>
      </x:c>
      <x:c r="L95" s="188" t="str">
        <x:v>Запланировано</x:v>
      </x:c>
    </x:row>
    <x:row r="96" ht="66" customHeight="1">
      <x:c r="A96" s="192" t="str">
        <x:v>E06-BE-05</x:v>
      </x:c>
      <x:c r="B96" s="193" t="str">
        <x:v>E06</x:v>
      </x:c>
      <x:c r="C96" s="193" t="str">
        <x:v>Backend</x:v>
      </x:c>
      <x:c r="D96" s="85" t="str">
        <x:v>Реализовать CRUD вариантов добавок</x:v>
      </x:c>
      <x:c r="E96" s="85" t="str">
        <x:v>Administrator управляет названиями, ценой и порядком добавок.</x:v>
      </x:c>
      <x:c r="F96" s="85" t="str">
        <x:v>Price delta поддерживает ноль и положительное значение; reorder и archive работают.</x:v>
      </x:c>
      <x:c r="G96" s="85" t="str">
        <x:v>E06-BE-04</x:v>
      </x:c>
      <x:c r="H96" s="85" t="str">
        <x:v>FR-ADM-006</x:v>
      </x:c>
      <x:c r="I96" s="85" t="str">
        <x:v>OpenAPI, testing</x:v>
      </x:c>
      <x:c r="J96" s="200" t="str">
        <x:v>M</x:v>
      </x:c>
      <x:c r="K96" s="200" t="str">
        <x:v>Must</x:v>
      </x:c>
      <x:c r="L96" s="188" t="str">
        <x:v>Запланировано</x:v>
      </x:c>
    </x:row>
    <x:row r="97" ht="66" customHeight="1">
      <x:c r="A97" s="192" t="str">
        <x:v>E06-BE-06</x:v>
      </x:c>
      <x:c r="B97" s="193" t="str">
        <x:v>E06</x:v>
      </x:c>
      <x:c r="C97" s="193" t="str">
        <x:v>Backend</x:v>
      </x:c>
      <x:c r="D97" s="85" t="str">
        <x:v>Реализовать связи групп добавок с категориями</x:v>
      </x:c>
      <x:c r="E97" s="85" t="str">
        <x:v>Administrator задаёт применимые группы и порядок.</x:v>
      </x:c>
      <x:c r="F97" s="85" t="str">
        <x:v>Повтор связи обрабатывается идемпотентно; публичное меню отражает новый порядок.</x:v>
      </x:c>
      <x:c r="G97" s="85" t="str">
        <x:v>E06-BE-01,E06-BE-04</x:v>
      </x:c>
      <x:c r="H97" s="85" t="str">
        <x:v>FR-ADM-007,FR-CAT-010</x:v>
      </x:c>
      <x:c r="I97" s="85" t="str">
        <x:v>OpenAPI, testing</x:v>
      </x:c>
      <x:c r="J97" s="200" t="str">
        <x:v>M</x:v>
      </x:c>
      <x:c r="K97" s="200" t="str">
        <x:v>Must</x:v>
      </x:c>
      <x:c r="L97" s="188" t="str">
        <x:v>Запланировано</x:v>
      </x:c>
    </x:row>
    <x:row r="98" ht="66" customHeight="1">
      <x:c r="A98" s="192" t="str">
        <x:v>E06-BE-07</x:v>
      </x:c>
      <x:c r="B98" s="193" t="str">
        <x:v>E06</x:v>
      </x:c>
      <x:c r="C98" s="193" t="str">
        <x:v>Backend</x:v>
      </x:c>
      <x:c r="D98" s="85" t="str">
        <x:v>Добавить аудит структуры и цен</x:v>
      </x:c>
      <x:c r="E98" s="85" t="str">
        <x:v>Все административные изменения прослеживаются.</x:v>
      </x:c>
      <x:c r="F98" s="85" t="str">
        <x:v>AuditEvent содержит actor, entity, action, before/after и requestId.</x:v>
      </x:c>
      <x:c r="G98" s="85" t="str">
        <x:v>E06-BE-01–E06-BE-06</x:v>
      </x:c>
      <x:c r="H98" s="85" t="str">
        <x:v>FR-ADM-010</x:v>
      </x:c>
      <x:c r="I98" s="85" t="str">
        <x:v>architecture, testing</x:v>
      </x:c>
      <x:c r="J98" s="200" t="str">
        <x:v>M</x:v>
      </x:c>
      <x:c r="K98" s="200" t="str">
        <x:v>Must</x:v>
      </x:c>
      <x:c r="L98" s="188" t="str">
        <x:v>Запланировано</x:v>
      </x:c>
    </x:row>
    <x:row r="99" ht="66" customHeight="1">
      <x:c r="A99" s="192" t="str">
        <x:v>E06-BO-01</x:v>
      </x:c>
      <x:c r="B99" s="193" t="str">
        <x:v>E06</x:v>
      </x:c>
      <x:c r="C99" s="193" t="str">
        <x:v>Back-office</x:v>
      </x:c>
      <x:c r="D99" s="85" t="str">
        <x:v>Реализовать API-клиент управления меню</x:v>
      </x:c>
      <x:c r="E99" s="85" t="str">
        <x:v>Back-office типизированно вызывает catalog и media endpoints.</x:v>
      </x:c>
      <x:c r="F99" s="85" t="str">
        <x:v>Contract snapshot обновлён; ошибки полей преобразуются в формы; role 403 обрабатывается.</x:v>
      </x:c>
      <x:c r="G99" s="85" t="str">
        <x:v>E06-BE-01–E06-BE-06,E03-QA-02</x:v>
      </x:c>
      <x:c r="H99" s="85" t="str">
        <x:v>FR-ADM-001–FR-ADM-010</x:v>
      </x:c>
      <x:c r="I99" s="85" t="str">
        <x:v>API contract, architecture</x:v>
      </x:c>
      <x:c r="J99" s="200" t="str">
        <x:v>M</x:v>
      </x:c>
      <x:c r="K99" s="200" t="str">
        <x:v>Must</x:v>
      </x:c>
      <x:c r="L99" s="188" t="str">
        <x:v>Запланировано</x:v>
      </x:c>
    </x:row>
    <x:row r="100" ht="66" customHeight="1">
      <x:c r="A100" s="192" t="str">
        <x:v>E06-BO-02</x:v>
      </x:c>
      <x:c r="B100" s="193" t="str">
        <x:v>E06</x:v>
      </x:c>
      <x:c r="C100" s="193" t="str">
        <x:v>Back-office</x:v>
      </x:c>
      <x:c r="D100" s="85" t="str">
        <x:v>Интегрировать список категорий и товаров</x:v>
      </x:c>
      <x:c r="E100" s="85" t="str">
        <x:v>Administrator видит структуру и порядок меню.</x:v>
      </x:c>
      <x:c r="F100" s="85" t="str">
        <x:v>Loading, empty, error и archived states соответствуют Storybook; refresh сохраняет выбор.</x:v>
      </x:c>
      <x:c r="G100" s="85" t="str">
        <x:v>E06-BO-01,E03-BO-17</x:v>
      </x:c>
      <x:c r="H100" s="85" t="str">
        <x:v>FR-ADM-001,FR-ADM-002</x:v>
      </x:c>
      <x:c r="I100" s="85" t="str">
        <x:v>routes, testing</x:v>
      </x:c>
      <x:c r="J100" s="200" t="str">
        <x:v>M</x:v>
      </x:c>
      <x:c r="K100" s="200" t="str">
        <x:v>Must</x:v>
      </x:c>
      <x:c r="L100" s="188" t="str">
        <x:v>Запланировано</x:v>
      </x:c>
    </x:row>
    <x:row r="101" ht="66" customHeight="1">
      <x:c r="A101" s="192" t="str">
        <x:v>E06-BO-03</x:v>
      </x:c>
      <x:c r="B101" s="193" t="str">
        <x:v>E06</x:v>
      </x:c>
      <x:c r="C101" s="193" t="str">
        <x:v>Back-office</x:v>
      </x:c>
      <x:c r="D101" s="85" t="str">
        <x:v>Интегрировать форму категории</x:v>
      </x:c>
      <x:c r="E101" s="85" t="str">
        <x:v>Administrator создаёт и редактирует категорию.</x:v>
      </x:c>
      <x:c r="F101" s="85" t="str">
        <x:v>Валидация, server errors, reorder и archive работают; Storybook актуален.</x:v>
      </x:c>
      <x:c r="G101" s="85" t="str">
        <x:v>E06-BO-01,E06-BO-02</x:v>
      </x:c>
      <x:c r="H101" s="85" t="str">
        <x:v>FR-ADM-001</x:v>
      </x:c>
      <x:c r="I101" s="85" t="str">
        <x:v>testing</x:v>
      </x:c>
      <x:c r="J101" s="200" t="str">
        <x:v>M</x:v>
      </x:c>
      <x:c r="K101" s="200" t="str">
        <x:v>Must</x:v>
      </x:c>
      <x:c r="L101" s="188" t="str">
        <x:v>Запланировано</x:v>
      </x:c>
    </x:row>
    <x:row r="102" ht="66" customHeight="1">
      <x:c r="A102" s="192" t="str">
        <x:v>E06-BO-04</x:v>
      </x:c>
      <x:c r="B102" s="193" t="str">
        <x:v>E06</x:v>
      </x:c>
      <x:c r="C102" s="193" t="str">
        <x:v>Back-office</x:v>
      </x:c>
      <x:c r="D102" s="85" t="str">
        <x:v>Интегрировать форму товара и изображение</x:v>
      </x:c>
      <x:c r="E102" s="85" t="str">
        <x:v>Administrator создаёт товар и управляет изображением.</x:v>
      </x:c>
      <x:c r="F102" s="85" t="str">
        <x:v>Upload progress, replace, MIME/size errors и сохранение работают.</x:v>
      </x:c>
      <x:c r="G102" s="85" t="str">
        <x:v>E06-BO-01,E06-BE-02,E05-BE-05</x:v>
      </x:c>
      <x:c r="H102" s="85" t="str">
        <x:v>FR-ADM-002,FR-ADM-003</x:v>
      </x:c>
      <x:c r="I102" s="85" t="str">
        <x:v>testing</x:v>
      </x:c>
      <x:c r="J102" s="200" t="str">
        <x:v>L</x:v>
      </x:c>
      <x:c r="K102" s="200" t="str">
        <x:v>Must</x:v>
      </x:c>
      <x:c r="L102" s="188" t="str">
        <x:v>Запланировано</x:v>
      </x:c>
    </x:row>
    <x:row r="103" ht="66" customHeight="1">
      <x:c r="A103" s="192" t="str">
        <x:v>E06-BO-05</x:v>
      </x:c>
      <x:c r="B103" s="193" t="str">
        <x:v>E06</x:v>
      </x:c>
      <x:c r="C103" s="193" t="str">
        <x:v>Back-office</x:v>
      </x:c>
      <x:c r="D103" s="85" t="str">
        <x:v>Интегрировать редактор вариантов и цен</x:v>
      </x:c>
      <x:c r="E103" s="85" t="str">
        <x:v>Administrator ведёт размеры и цены внутри товара.</x:v>
      </x:c>
      <x:c r="F103" s="85" t="str">
        <x:v>Create, edit, reorder, archive и currency validation работают.</x:v>
      </x:c>
      <x:c r="G103" s="85" t="str">
        <x:v>E06-BO-04,E06-BE-03</x:v>
      </x:c>
      <x:c r="H103" s="85" t="str">
        <x:v>FR-ADM-004</x:v>
      </x:c>
      <x:c r="I103" s="85" t="str">
        <x:v>testing</x:v>
      </x:c>
      <x:c r="J103" s="200" t="str">
        <x:v>M</x:v>
      </x:c>
      <x:c r="K103" s="200" t="str">
        <x:v>Must</x:v>
      </x:c>
      <x:c r="L103" s="188" t="str">
        <x:v>Запланировано</x:v>
      </x:c>
    </x:row>
    <x:row r="104" ht="66" customHeight="1">
      <x:c r="A104" s="192" t="str">
        <x:v>E06-BO-06</x:v>
      </x:c>
      <x:c r="B104" s="193" t="str">
        <x:v>E06</x:v>
      </x:c>
      <x:c r="C104" s="193" t="str">
        <x:v>Back-office</x:v>
      </x:c>
      <x:c r="D104" s="85" t="str">
        <x:v>Интегрировать редактор групп и добавок</x:v>
      </x:c>
      <x:c r="E104" s="85" t="str">
        <x:v>Administrator ведёт правила выбора и варианты добавок.</x:v>
      </x:c>
      <x:c r="F104" s="85" t="str">
        <x:v>Single/multiple/min/max, price delta, reorder и archive работают.</x:v>
      </x:c>
      <x:c r="G104" s="85" t="str">
        <x:v>E06-BO-01,E06-BE-04,E06-BE-05</x:v>
      </x:c>
      <x:c r="H104" s="85" t="str">
        <x:v>FR-ADM-005,FR-ADM-006</x:v>
      </x:c>
      <x:c r="I104" s="85" t="str">
        <x:v>testing</x:v>
      </x:c>
      <x:c r="J104" s="200" t="str">
        <x:v>L</x:v>
      </x:c>
      <x:c r="K104" s="200" t="str">
        <x:v>Must</x:v>
      </x:c>
      <x:c r="L104" s="188" t="str">
        <x:v>Запланировано</x:v>
      </x:c>
    </x:row>
    <x:row r="105" ht="66" customHeight="1">
      <x:c r="A105" s="192" t="str">
        <x:v>E06-BO-07</x:v>
      </x:c>
      <x:c r="B105" s="193" t="str">
        <x:v>E06</x:v>
      </x:c>
      <x:c r="C105" s="193" t="str">
        <x:v>Back-office</x:v>
      </x:c>
      <x:c r="D105" s="85" t="str">
        <x:v>Интегрировать связь групп с категориями</x:v>
      </x:c>
      <x:c r="E105" s="85" t="str">
        <x:v>Administrator назначает группы добавок категории.</x:v>
      </x:c>
      <x:c r="F105" s="85" t="str">
        <x:v>Доступные и назначенные группы различимы; порядок сохраняется; публичное меню обновляется.</x:v>
      </x:c>
      <x:c r="G105" s="85" t="str">
        <x:v>E06-BO-03,E06-BO-06,E06-BE-06</x:v>
      </x:c>
      <x:c r="H105" s="85" t="str">
        <x:v>FR-ADM-007</x:v>
      </x:c>
      <x:c r="I105" s="85" t="str">
        <x:v>testing</x:v>
      </x:c>
      <x:c r="J105" s="200" t="str">
        <x:v>M</x:v>
      </x:c>
      <x:c r="K105" s="200" t="str">
        <x:v>Must</x:v>
      </x:c>
      <x:c r="L105" s="188" t="str">
        <x:v>Запланировано</x:v>
      </x:c>
    </x:row>
    <x:row r="106" ht="66" customHeight="1">
      <x:c r="A106" s="192" t="str">
        <x:v>E06-QA-01</x:v>
      </x:c>
      <x:c r="B106" s="193" t="str">
        <x:v>E06</x:v>
      </x:c>
      <x:c r="C106" s="193" t="str">
        <x:v>QA</x:v>
      </x:c>
      <x:c r="D106" s="85" t="str">
        <x:v>Покрыть административный API интеграционными тестами</x:v>
      </x:c>
      <x:c r="E106" s="85" t="str">
        <x:v>CRUD, роли, аудит и целостность подтверждены с PostgreSQL.</x:v>
      </x:c>
      <x:c r="F106" s="85" t="str">
        <x:v>Каждый endpoint имеет success, validation, access и archive сценарии.</x:v>
      </x:c>
      <x:c r="G106" s="85" t="str">
        <x:v>E06-BE-01–E06-BE-07</x:v>
      </x:c>
      <x:c r="H106" s="85" t="str">
        <x:v>FR-ADM-001–FR-ADM-010</x:v>
      </x:c>
      <x:c r="I106" s="85" t="str">
        <x:v>testing</x:v>
      </x:c>
      <x:c r="J106" s="200" t="str">
        <x:v>L</x:v>
      </x:c>
      <x:c r="K106" s="200" t="str">
        <x:v>Must</x:v>
      </x:c>
      <x:c r="L106" s="188" t="str">
        <x:v>Запланировано</x:v>
      </x:c>
    </x:row>
    <x:row r="107" ht="66" customHeight="1">
      <x:c r="A107" s="192" t="str">
        <x:v>E06-QA-02</x:v>
      </x:c>
      <x:c r="B107" s="193" t="str">
        <x:v>E06</x:v>
      </x:c>
      <x:c r="C107" s="193" t="str">
        <x:v>QA</x:v>
      </x:c>
      <x:c r="D107" s="85" t="str">
        <x:v>Покрыть управление меню browser E2E</x:v>
      </x:c>
      <x:c r="E107" s="85" t="str">
        <x:v>Administrator создаёт полный набор меню через back-office.</x:v>
      </x:c>
      <x:c r="F107" s="85" t="str">
        <x:v>Категория, товар, image, variants, modifier group, options и assignment проходят в браузере и отражаются в public menu.</x:v>
      </x:c>
      <x:c r="G107" s="85" t="str">
        <x:v>E06-BO-02–E06-BO-07,E06-QA-01</x:v>
      </x:c>
      <x:c r="H107" s="85" t="str">
        <x:v>FR-ADM-001–FR-ADM-010</x:v>
      </x:c>
      <x:c r="I107" s="85" t="str">
        <x:v>testing</x:v>
      </x:c>
      <x:c r="J107" s="200" t="str">
        <x:v>L</x:v>
      </x:c>
      <x:c r="K107" s="200" t="str">
        <x:v>Must</x:v>
      </x:c>
      <x:c r="L107" s="188" t="str">
        <x:v>Запланировано</x:v>
      </x:c>
    </x:row>
    <x:row r="108" ht="66" customHeight="1">
      <x:c r="A108" s="192" t="str">
        <x:v>E07-BE-01</x:v>
      </x:c>
      <x:c r="B108" s="193" t="str">
        <x:v>E07</x:v>
      </x:c>
      <x:c r="C108" s="193" t="str">
        <x:v>Backend</x:v>
      </x:c>
      <x:c r="D108" s="85" t="str">
        <x:v>Создать схему заказа и снимков позиций</x:v>
      </x:c>
      <x:c r="E108" s="85" t="str">
        <x:v>База хранит заказ, позиции, добавки, стадии, оплату и версию.</x:v>
      </x:c>
      <x:c r="F108" s="85" t="str">
        <x:v>Миграция содержит индексы customer/date, stage/date и unique number; snapshot поля обязательны.</x:v>
      </x:c>
      <x:c r="G108" s="85" t="str">
        <x:v>E01-BE-03,E04-BE-01,E05-BE-01</x:v>
      </x:c>
      <x:c r="H108" s="85" t="str">
        <x:v>FR-ORD-001–FR-ORD-008</x:v>
      </x:c>
      <x:c r="I108" s="85" t="str">
        <x:v>architecture</x:v>
      </x:c>
      <x:c r="J108" s="200" t="str">
        <x:v>L</x:v>
      </x:c>
      <x:c r="K108" s="200" t="str">
        <x:v>Must</x:v>
      </x:c>
      <x:c r="L108" s="188" t="str">
        <x:v>Запланировано</x:v>
      </x:c>
    </x:row>
    <x:row r="109" ht="66" customHeight="1">
      <x:c r="A109" s="192" t="str">
        <x:v>E07-BE-02</x:v>
      </x:c>
      <x:c r="B109" s="193" t="str">
        <x:v>E07</x:v>
      </x:c>
      <x:c r="C109" s="193" t="str">
        <x:v>Backend</x:v>
      </x:c>
      <x:c r="D109" s="85" t="str">
        <x:v>Реализовать серверный расчёт конфигурации</x:v>
      </x:c>
      <x:c r="E109" s="85" t="str">
        <x:v>Backend вычисляет цену позиции по варианту, добавкам и количеству.</x:v>
      </x:c>
      <x:c r="F109" s="85" t="str">
        <x:v>Правила modifier group проверяются; unavailable и archived отклоняются; тесты покрывают комбинации.</x:v>
      </x:c>
      <x:c r="G109" s="85" t="str">
        <x:v>E05-BE-02,E07-BE-01</x:v>
      </x:c>
      <x:c r="H109" s="85" t="str">
        <x:v>BR-003,BR-009,FR-CART-007–FR-CART-010</x:v>
      </x:c>
      <x:c r="I109" s="85" t="str">
        <x:v>architecture, testing</x:v>
      </x:c>
      <x:c r="J109" s="200" t="str">
        <x:v>L</x:v>
      </x:c>
      <x:c r="K109" s="200" t="str">
        <x:v>Must</x:v>
      </x:c>
      <x:c r="L109" s="188" t="str">
        <x:v>Запланировано</x:v>
      </x:c>
    </x:row>
    <x:row r="110" ht="66" customHeight="1">
      <x:c r="A110" s="192" t="str">
        <x:v>E07-BE-03</x:v>
      </x:c>
      <x:c r="B110" s="193" t="str">
        <x:v>E07</x:v>
      </x:c>
      <x:c r="C110" s="193" t="str">
        <x:v>Backend</x:v>
      </x:c>
      <x:c r="D110" s="85" t="str">
        <x:v>Реализовать генератор номера заказа</x:v>
      </x:c>
      <x:c r="E110" s="85" t="str">
        <x:v>Каждый заказ получает читаемый номер дня.</x:v>
      </x:c>
      <x:c r="F110" s="85" t="str">
        <x:v>Последовательность атомарна; формат YYYYMMDD-NNN; конкурентное создание сохраняет уникальность.</x:v>
      </x:c>
      <x:c r="G110" s="85" t="str">
        <x:v>E07-BE-01</x:v>
      </x:c>
      <x:c r="H110" s="85" t="str">
        <x:v>FR-ORD-004</x:v>
      </x:c>
      <x:c r="I110" s="85" t="str">
        <x:v>architecture, testing</x:v>
      </x:c>
      <x:c r="J110" s="200" t="str">
        <x:v>M</x:v>
      </x:c>
      <x:c r="K110" s="200" t="str">
        <x:v>Must</x:v>
      </x:c>
      <x:c r="L110" s="188" t="str">
        <x:v>Запланировано</x:v>
      </x:c>
    </x:row>
    <x:row r="111" ht="66" customHeight="1">
      <x:c r="A111" s="192" t="str">
        <x:v>E07-BE-04</x:v>
      </x:c>
      <x:c r="B111" s="193" t="str">
        <x:v>E07</x:v>
      </x:c>
      <x:c r="C111" s="193" t="str">
        <x:v>Backend</x:v>
      </x:c>
      <x:c r="D111" s="85" t="str">
        <x:v>Реализовать идемпотентное создание заказа</x:v>
      </x:c>
      <x:c r="E111" s="85" t="str">
        <x:v>POST /orders создаёт один заказ на один ключ.</x:v>
      </x:c>
      <x:c r="F111" s="85" t="str">
        <x:v>Валидация и snapshot выполняются транзакцией; повтор возвращает исходный ответ; total_minor серверный.</x:v>
      </x:c>
      <x:c r="G111" s="85" t="str">
        <x:v>E07-BE-02,E07-BE-03,E04-BE-07</x:v>
      </x:c>
      <x:c r="H111" s="85" t="str">
        <x:v>FR-ORD-001–FR-ORD-008</x:v>
      </x:c>
      <x:c r="I111" s="85" t="str">
        <x:v>OpenAPI, testing</x:v>
      </x:c>
      <x:c r="J111" s="200" t="str">
        <x:v>L</x:v>
      </x:c>
      <x:c r="K111" s="200" t="str">
        <x:v>Must</x:v>
      </x:c>
      <x:c r="L111" s="188" t="str">
        <x:v>Запланировано</x:v>
      </x:c>
    </x:row>
    <x:row r="112" ht="66" customHeight="1">
      <x:c r="A112" s="192" t="str">
        <x:v>E07-BE-05</x:v>
      </x:c>
      <x:c r="B112" s="193" t="str">
        <x:v>E07</x:v>
      </x:c>
      <x:c r="C112" s="193" t="str">
        <x:v>Backend</x:v>
      </x:c>
      <x:c r="D112" s="85" t="str">
        <x:v>Реализовать ответ актуализации корзины</x:v>
      </x:c>
      <x:c r="E112" s="85" t="str">
        <x:v>Backend сообщает изменённые цены и выключенные позиции структурированно.</x:v>
      </x:c>
      <x:c r="F112" s="85" t="str">
        <x:v>ORDER_TOTAL_CHANGED содержит новый расчёт; MENU_ITEM_UNAVAILABLE содержит затронутые строки.</x:v>
      </x:c>
      <x:c r="G112" s="85" t="str">
        <x:v>E07-BE-02</x:v>
      </x:c>
      <x:c r="H112" s="85" t="str">
        <x:v>FR-CART-007–FR-CART-009</x:v>
      </x:c>
      <x:c r="I112" s="85" t="str">
        <x:v>OpenAPI, testing</x:v>
      </x:c>
      <x:c r="J112" s="200" t="str">
        <x:v>M</x:v>
      </x:c>
      <x:c r="K112" s="200" t="str">
        <x:v>Must</x:v>
      </x:c>
      <x:c r="L112" s="188" t="str">
        <x:v>Запланировано</x:v>
      </x:c>
    </x:row>
    <x:row r="113" ht="66" customHeight="1">
      <x:c r="A113" s="192" t="str">
        <x:v>E07-FO-01</x:v>
      </x:c>
      <x:c r="B113" s="193" t="str">
        <x:v>E07</x:v>
      </x:c>
      <x:c r="C113" s="193" t="str">
        <x:v>Front-office</x:v>
      </x:c>
      <x:c r="D113" s="85" t="str">
        <x:v>Реализовать Cart store и local storage</x:v>
      </x:c>
      <x:c r="E113" s="85" t="str">
        <x:v>Корзина сохраняется между перезагрузками.</x:v>
      </x:c>
      <x:c r="F113" s="85" t="str">
        <x:v>Конфигурация имеет стабильный ключ; schema version поддержана; повреждённые данные очищаются контролируемо.</x:v>
      </x:c>
      <x:c r="G113" s="85" t="str">
        <x:v>E05-FO-03,E02-QA-02</x:v>
      </x:c>
      <x:c r="H113" s="85" t="str">
        <x:v>FR-CART-001,FR-CART-005</x:v>
      </x:c>
      <x:c r="I113" s="85" t="str">
        <x:v>architecture, testing</x:v>
      </x:c>
      <x:c r="J113" s="200" t="str">
        <x:v>M</x:v>
      </x:c>
      <x:c r="K113" s="200" t="str">
        <x:v>Must</x:v>
      </x:c>
      <x:c r="L113" s="188" t="str">
        <x:v>Запланировано</x:v>
      </x:c>
    </x:row>
    <x:row r="114" ht="66" customHeight="1">
      <x:c r="A114" s="192" t="str">
        <x:v>E07-FO-02</x:v>
      </x:c>
      <x:c r="B114" s="193" t="str">
        <x:v>E07</x:v>
      </x:c>
      <x:c r="C114" s="193" t="str">
        <x:v>Front-office</x:v>
      </x:c>
      <x:c r="D114" s="85" t="str">
        <x:v>Интегрировать добавление товара в корзину</x:v>
      </x:c>
      <x:c r="E114" s="85" t="str">
        <x:v>ProductSheet создаёт валидную cart line.</x:v>
      </x:c>
      <x:c r="F114" s="85" t="str">
        <x:v>Размер, sorted modifiers, quantity и calculated display total сохраняются; identical line increments.</x:v>
      </x:c>
      <x:c r="G114" s="85" t="str">
        <x:v>E07-FO-01,E05-FO-03</x:v>
      </x:c>
      <x:c r="H114" s="85" t="str">
        <x:v>FR-CART-002,FR-CART-005</x:v>
      </x:c>
      <x:c r="I114" s="85" t="str">
        <x:v>testing</x:v>
      </x:c>
      <x:c r="J114" s="200" t="str">
        <x:v>M</x:v>
      </x:c>
      <x:c r="K114" s="200" t="str">
        <x:v>Must</x:v>
      </x:c>
      <x:c r="L114" s="188" t="str">
        <x:v>Запланировано</x:v>
      </x:c>
    </x:row>
    <x:row r="115" ht="66" customHeight="1">
      <x:c r="A115" s="192" t="str">
        <x:v>E07-FO-03</x:v>
      </x:c>
      <x:c r="B115" s="193" t="str">
        <x:v>E07</x:v>
      </x:c>
      <x:c r="C115" s="193" t="str">
        <x:v>Front-office</x:v>
      </x:c>
      <x:c r="D115" s="85" t="str">
        <x:v>Интегрировать CartPage</x:v>
      </x:c>
      <x:c r="E115" s="85" t="str">
        <x:v>Клиент редактирует состав и видит итог.</x:v>
      </x:c>
      <x:c r="F115" s="85" t="str">
        <x:v>Quantity, remove, empty, long configuration и postpayment note соответствуют Storybook.</x:v>
      </x:c>
      <x:c r="G115" s="85" t="str">
        <x:v>E07-FO-01,E02-FO-15</x:v>
      </x:c>
      <x:c r="H115" s="85" t="str">
        <x:v>FR-CART-003–FR-CART-006</x:v>
      </x:c>
      <x:c r="I115" s="85" t="str">
        <x:v>routes, testing</x:v>
      </x:c>
      <x:c r="J115" s="200" t="str">
        <x:v>M</x:v>
      </x:c>
      <x:c r="K115" s="200" t="str">
        <x:v>Must</x:v>
      </x:c>
      <x:c r="L115" s="188" t="str">
        <x:v>Запланировано</x:v>
      </x:c>
    </x:row>
    <x:row r="116" ht="66" customHeight="1">
      <x:c r="A116" s="192" t="str">
        <x:v>E07-FO-04</x:v>
      </x:c>
      <x:c r="B116" s="193" t="str">
        <x:v>E07</x:v>
      </x:c>
      <x:c r="C116" s="193" t="str">
        <x:v>Front-office</x:v>
      </x:c>
      <x:c r="D116" s="85" t="str">
        <x:v>Реализовать checkout auth gate</x:v>
      </x:c>
      <x:c r="E116" s="85" t="str">
        <x:v>Оформление ведёт гостя через телефонный вход и возвращает в корзину.</x:v>
      </x:c>
      <x:c r="F116" s="85" t="str">
        <x:v>Return URL и cart сохраняются; customer продолжает оформление одним действием.</x:v>
      </x:c>
      <x:c r="G116" s="85" t="str">
        <x:v>E04-FO-04,E07-FO-03</x:v>
      </x:c>
      <x:c r="H116" s="85" t="str">
        <x:v>FR-AUTH-009,FR-ORD-001</x:v>
      </x:c>
      <x:c r="I116" s="85" t="str">
        <x:v>routes, testing</x:v>
      </x:c>
      <x:c r="J116" s="200" t="str">
        <x:v>S</x:v>
      </x:c>
      <x:c r="K116" s="200" t="str">
        <x:v>Must</x:v>
      </x:c>
      <x:c r="L116" s="188" t="str">
        <x:v>Запланировано</x:v>
      </x:c>
    </x:row>
    <x:row r="117" ht="66" customHeight="1">
      <x:c r="A117" s="192" t="str">
        <x:v>E07-FO-05</x:v>
      </x:c>
      <x:c r="B117" s="193" t="str">
        <x:v>E07</x:v>
      </x:c>
      <x:c r="C117" s="193" t="str">
        <x:v>Front-office</x:v>
      </x:c>
      <x:c r="D117" s="85" t="str">
        <x:v>Реализовать API-клиент создания заказа</x:v>
      </x:c>
      <x:c r="E117" s="85" t="str">
        <x:v>Front-office отправляет snapshot references и idempotency key.</x:v>
      </x:c>
      <x:c r="F117" s="85" t="str">
        <x:v>Повтор после сетевого сбоя использует тот же ключ; success очищает корзину после получения order id.</x:v>
      </x:c>
      <x:c r="G117" s="85" t="str">
        <x:v>E07-BE-04,E04-FO-03</x:v>
      </x:c>
      <x:c r="H117" s="85" t="str">
        <x:v>FR-ORD-001–FR-ORD-008</x:v>
      </x:c>
      <x:c r="I117" s="85" t="str">
        <x:v>API contract, architecture</x:v>
      </x:c>
      <x:c r="J117" s="200" t="str">
        <x:v>M</x:v>
      </x:c>
      <x:c r="K117" s="200" t="str">
        <x:v>Must</x:v>
      </x:c>
      <x:c r="L117" s="188" t="str">
        <x:v>Запланировано</x:v>
      </x:c>
    </x:row>
    <x:row r="118" ht="66" customHeight="1">
      <x:c r="A118" s="192" t="str">
        <x:v>E07-FO-06</x:v>
      </x:c>
      <x:c r="B118" s="193" t="str">
        <x:v>E07</x:v>
      </x:c>
      <x:c r="C118" s="193" t="str">
        <x:v>Front-office</x:v>
      </x:c>
      <x:c r="D118" s="85" t="str">
        <x:v>Обработать изменение цены перед оформлением</x:v>
      </x:c>
      <x:c r="E118" s="85" t="str">
        <x:v>Клиент видит серверный пересчёт и подтверждает актуальный итог.</x:v>
      </x:c>
      <x:c r="F118" s="85" t="str">
        <x:v>Cart lines обновляются по ответу; уведомление соответствует Storybook; повтор создаёт заказ с новым ключом.</x:v>
      </x:c>
      <x:c r="G118" s="85" t="str">
        <x:v>E07-BE-05,E07-FO-05,E02-FO-10</x:v>
      </x:c>
      <x:c r="H118" s="85" t="str">
        <x:v>FR-CART-008</x:v>
      </x:c>
      <x:c r="I118" s="85" t="str">
        <x:v>testing</x:v>
      </x:c>
      <x:c r="J118" s="200" t="str">
        <x:v>M</x:v>
      </x:c>
      <x:c r="K118" s="200" t="str">
        <x:v>Must</x:v>
      </x:c>
      <x:c r="L118" s="188" t="str">
        <x:v>Запланировано</x:v>
      </x:c>
    </x:row>
    <x:row r="119" ht="66" customHeight="1">
      <x:c r="A119" s="192" t="str">
        <x:v>E07-FO-07</x:v>
      </x:c>
      <x:c r="B119" s="193" t="str">
        <x:v>E07</x:v>
      </x:c>
      <x:c r="C119" s="193" t="str">
        <x:v>Front-office</x:v>
      </x:c>
      <x:c r="D119" s="85" t="str">
        <x:v>Обработать выключенную позицию перед оформлением</x:v>
      </x:c>
      <x:c r="E119" s="85" t="str">
        <x:v>Клиент получает ясный путь обновления корзины.</x:v>
      </x:c>
      <x:c r="F119" s="85" t="str">
        <x:v>Затронутые lines отмечены; удаление либо повторная конфигурация доступны; submit блокируется до исправления.</x:v>
      </x:c>
      <x:c r="G119" s="85" t="str">
        <x:v>E07-BE-05,E07-FO-05,E02-FO-10</x:v>
      </x:c>
      <x:c r="H119" s="85" t="str">
        <x:v>FR-CART-009</x:v>
      </x:c>
      <x:c r="I119" s="85" t="str">
        <x:v>testing</x:v>
      </x:c>
      <x:c r="J119" s="200" t="str">
        <x:v>M</x:v>
      </x:c>
      <x:c r="K119" s="200" t="str">
        <x:v>Must</x:v>
      </x:c>
      <x:c r="L119" s="188" t="str">
        <x:v>Запланировано</x:v>
      </x:c>
    </x:row>
    <x:row r="120" ht="66" customHeight="1">
      <x:c r="A120" s="192" t="str">
        <x:v>E07-FO-08</x:v>
      </x:c>
      <x:c r="B120" s="193" t="str">
        <x:v>E07</x:v>
      </x:c>
      <x:c r="C120" s="193" t="str">
        <x:v>Front-office</x:v>
      </x:c>
      <x:c r="D120" s="85" t="str">
        <x:v>Открыть страницу заказа после оформления</x:v>
      </x:c>
      <x:c r="E120" s="85" t="str">
        <x:v>Успешный checkout ведёт на `/orders/:id`.</x:v>
      </x:c>
      <x:c r="F120" s="85" t="str">
        <x:v>Order id берётся из API; page reload сохраняет маршрут; повтор ответа возвращает исходный order id.</x:v>
      </x:c>
      <x:c r="G120" s="85" t="str">
        <x:v>E07-FO-05</x:v>
      </x:c>
      <x:c r="H120" s="85" t="str">
        <x:v>FR-ORD-001–FR-ORD-008</x:v>
      </x:c>
      <x:c r="I120" s="85" t="str">
        <x:v>routes, testing</x:v>
      </x:c>
      <x:c r="J120" s="200" t="str">
        <x:v>S</x:v>
      </x:c>
      <x:c r="K120" s="200" t="str">
        <x:v>Must</x:v>
      </x:c>
      <x:c r="L120" s="188" t="str">
        <x:v>Запланировано</x:v>
      </x:c>
    </x:row>
    <x:row r="121" ht="66" customHeight="1">
      <x:c r="A121" s="192" t="str">
        <x:v>E07-QA-01</x:v>
      </x:c>
      <x:c r="B121" s="193" t="str">
        <x:v>E07</x:v>
      </x:c>
      <x:c r="C121" s="193" t="str">
        <x:v>QA</x:v>
      </x:c>
      <x:c r="D121" s="85" t="str">
        <x:v>Покрыть расчёт и создание заказа интеграционными тестами</x:v>
      </x:c>
      <x:c r="E121" s="85" t="str">
        <x:v>Цена, доступность, транзакция и идемпотентность подтверждены.</x:v>
      </x:c>
      <x:c r="F121" s="85" t="str">
        <x:v>Комбинации размеров/добавок, price change, unavailable, concurrent number и duplicate key проходят.</x:v>
      </x:c>
      <x:c r="G121" s="85" t="str">
        <x:v>E07-BE-01–E07-BE-05</x:v>
      </x:c>
      <x:c r="H121" s="85" t="str">
        <x:v>FR-CART-007–FR-CART-010,FR-ORD-001–FR-ORD-008</x:v>
      </x:c>
      <x:c r="I121" s="85" t="str">
        <x:v>testing</x:v>
      </x:c>
      <x:c r="J121" s="200" t="str">
        <x:v>L</x:v>
      </x:c>
      <x:c r="K121" s="200" t="str">
        <x:v>Must</x:v>
      </x:c>
      <x:c r="L121" s="188" t="str">
        <x:v>Запланировано</x:v>
      </x:c>
    </x:row>
    <x:row r="122" ht="66" customHeight="1">
      <x:c r="A122" s="192" t="str">
        <x:v>E07-QA-02</x:v>
      </x:c>
      <x:c r="B122" s="193" t="str">
        <x:v>E07</x:v>
      </x:c>
      <x:c r="C122" s="193" t="str">
        <x:v>QA</x:v>
      </x:c>
      <x:c r="D122" s="85" t="str">
        <x:v>Покрыть корзину и checkout browser E2E</x:v>
      </x:c>
      <x:c r="E122" s="85" t="str">
        <x:v>Customer проходит путь меню → корзина → вход → заказ.</x:v>
      </x:c>
      <x:c r="F122" s="85" t="str">
        <x:v>Persistence, identical line, edit, price change, unavailable и network retry проходят в браузере.</x:v>
      </x:c>
      <x:c r="G122" s="85" t="str">
        <x:v>E07-FO-01–E07-FO-08,E07-QA-01</x:v>
      </x:c>
      <x:c r="H122" s="85" t="str">
        <x:v>FR-CART-001–FR-CART-010,FR-ORD-001–FR-ORD-008</x:v>
      </x:c>
      <x:c r="I122" s="85" t="str">
        <x:v>testing</x:v>
      </x:c>
      <x:c r="J122" s="200" t="str">
        <x:v>L</x:v>
      </x:c>
      <x:c r="K122" s="200" t="str">
        <x:v>Must</x:v>
      </x:c>
      <x:c r="L122" s="188" t="str">
        <x:v>Запланировано</x:v>
      </x:c>
    </x:row>
    <x:row r="123" ht="66" customHeight="1">
      <x:c r="A123" s="192" t="str">
        <x:v>E08-BE-01</x:v>
      </x:c>
      <x:c r="B123" s="193" t="str">
        <x:v>E08</x:v>
      </x:c>
      <x:c r="C123" s="193" t="str">
        <x:v>Backend</x:v>
      </x:c>
      <x:c r="D123" s="85" t="str">
        <x:v>Реализовать доменную машину стадий</x:v>
      </x:c>
      <x:c r="E123" s="85" t="str">
        <x:v>Backend разрешает только последовательные переходы исполнения.</x:v>
      </x:c>
      <x:c r="F123" s="85" t="str">
        <x:v>CREATED→ACCEPTED→PREPARING→READY→ISSUED покрыты таблицей тестов; actor обязателен.</x:v>
      </x:c>
      <x:c r="G123" s="85" t="str">
        <x:v>E07-BE-01</x:v>
      </x:c>
      <x:c r="H123" s="85" t="str">
        <x:v>BR-011,FR-ORD-011–FR-ORD-013</x:v>
      </x:c>
      <x:c r="I123" s="85" t="str">
        <x:v>architecture, testing</x:v>
      </x:c>
      <x:c r="J123" s="200" t="str">
        <x:v>L</x:v>
      </x:c>
      <x:c r="K123" s="200" t="str">
        <x:v>Must</x:v>
      </x:c>
      <x:c r="L123" s="188" t="str">
        <x:v>Запланировано</x:v>
      </x:c>
    </x:row>
    <x:row r="124" ht="66" customHeight="1">
      <x:c r="A124" s="192" t="str">
        <x:v>E08-BE-02</x:v>
      </x:c>
      <x:c r="B124" s="193" t="str">
        <x:v>E08</x:v>
      </x:c>
      <x:c r="C124" s="193" t="str">
        <x:v>Backend</x:v>
      </x:c>
      <x:c r="D124" s="85" t="str">
        <x:v>Реализовать журнал событий заказа</x:v>
      </x:c>
      <x:c r="E124" s="85" t="str">
        <x:v>Каждая стадия формирует OrderEvent.</x:v>
      </x:c>
      <x:c r="F124" s="85" t="str">
        <x:v>Event содержит old/new, actor, created_at и requestId; детали возвращают ordered timeline.</x:v>
      </x:c>
      <x:c r="G124" s="85" t="str">
        <x:v>E08-BE-01</x:v>
      </x:c>
      <x:c r="H124" s="85" t="str">
        <x:v>FR-ORD-012</x:v>
      </x:c>
      <x:c r="I124" s="85" t="str">
        <x:v>OpenAPI, architecture</x:v>
      </x:c>
      <x:c r="J124" s="200" t="str">
        <x:v>M</x:v>
      </x:c>
      <x:c r="K124" s="200" t="str">
        <x:v>Must</x:v>
      </x:c>
      <x:c r="L124" s="188" t="str">
        <x:v>Запланировано</x:v>
      </x:c>
    </x:row>
    <x:row r="125" ht="66" customHeight="1">
      <x:c r="A125" s="192" t="str">
        <x:v>E08-BE-03</x:v>
      </x:c>
      <x:c r="B125" s="193" t="str">
        <x:v>E08</x:v>
      </x:c>
      <x:c r="C125" s="193" t="str">
        <x:v>Backend</x:v>
      </x:c>
      <x:c r="D125" s="85" t="str">
        <x:v>Реализовать API очереди</x:v>
      </x:c>
      <x:c r="E125" s="85" t="str">
        <x:v>Staff получает фильтруемый список заказов.</x:v>
      </x:c>
      <x:c r="F125" s="85" t="str">
        <x:v>Фильтры stage, payment и search number работают; сортировка стабильна; pagination применяется.</x:v>
      </x:c>
      <x:c r="G125" s="85" t="str">
        <x:v>E07-BE-01,E04-BE-07</x:v>
      </x:c>
      <x:c r="H125" s="85" t="str">
        <x:v>FR-ORD-009</x:v>
      </x:c>
      <x:c r="I125" s="85" t="str">
        <x:v>OpenAPI, testing</x:v>
      </x:c>
      <x:c r="J125" s="200" t="str">
        <x:v>M</x:v>
      </x:c>
      <x:c r="K125" s="200" t="str">
        <x:v>Must</x:v>
      </x:c>
      <x:c r="L125" s="188" t="str">
        <x:v>Запланировано</x:v>
      </x:c>
    </x:row>
    <x:row r="126" ht="66" customHeight="1">
      <x:c r="A126" s="192" t="str">
        <x:v>E08-BE-04</x:v>
      </x:c>
      <x:c r="B126" s="193" t="str">
        <x:v>E08</x:v>
      </x:c>
      <x:c r="C126" s="193" t="str">
        <x:v>Backend</x:v>
      </x:c>
      <x:c r="D126" s="85" t="str">
        <x:v>Реализовать API деталей заказа</x:v>
      </x:c>
      <x:c r="E126" s="85" t="str">
        <x:v>Staff получает полный снимок и журнал.</x:v>
      </x:c>
      <x:c r="F126" s="85" t="str">
        <x:v>Состав, customer mask, totals, version и events возвращаются; роли проверяются.</x:v>
      </x:c>
      <x:c r="G126" s="85" t="str">
        <x:v>E08-BE-02,E04-BE-07</x:v>
      </x:c>
      <x:c r="H126" s="85" t="str">
        <x:v>FR-ORD-010</x:v>
      </x:c>
      <x:c r="I126" s="85" t="str">
        <x:v>OpenAPI, testing</x:v>
      </x:c>
      <x:c r="J126" s="200" t="str">
        <x:v>M</x:v>
      </x:c>
      <x:c r="K126" s="200" t="str">
        <x:v>Must</x:v>
      </x:c>
      <x:c r="L126" s="188" t="str">
        <x:v>Запланировано</x:v>
      </x:c>
    </x:row>
    <x:row r="127" ht="66" customHeight="1">
      <x:c r="A127" s="192" t="str">
        <x:v>E08-BE-05</x:v>
      </x:c>
      <x:c r="B127" s="193" t="str">
        <x:v>E08</x:v>
      </x:c>
      <x:c r="C127" s="193" t="str">
        <x:v>Backend</x:v>
      </x:c>
      <x:c r="D127" s="85" t="str">
        <x:v>Реализовать endpoints переходов стадий</x:v>
      </x:c>
      <x:c r="E127" s="85" t="str">
        <x:v>Staff выполняет accept, preparing и ready.</x:v>
      </x:c>
      <x:c r="F127" s="85" t="str">
        <x:v>Каждый endpoint принимает expectedVersion; 409 содержит актуальный order; аудит фиксируется.</x:v>
      </x:c>
      <x:c r="G127" s="85" t="str">
        <x:v>E08-BE-01,E08-BE-02</x:v>
      </x:c>
      <x:c r="H127" s="85" t="str">
        <x:v>FR-ORD-011–FR-ORD-013</x:v>
      </x:c>
      <x:c r="I127" s="85" t="str">
        <x:v>OpenAPI, testing</x:v>
      </x:c>
      <x:c r="J127" s="200" t="str">
        <x:v>L</x:v>
      </x:c>
      <x:c r="K127" s="200" t="str">
        <x:v>Must</x:v>
      </x:c>
      <x:c r="L127" s="188" t="str">
        <x:v>Запланировано</x:v>
      </x:c>
    </x:row>
    <x:row r="128" ht="66" customHeight="1">
      <x:c r="A128" s="192" t="str">
        <x:v>E08-BE-06</x:v>
      </x:c>
      <x:c r="B128" s="193" t="str">
        <x:v>E08</x:v>
      </x:c>
      <x:c r="C128" s="193" t="str">
        <x:v>Backend</x:v>
      </x:c>
      <x:c r="D128" s="85" t="str">
        <x:v>Оптимизировать polling очереди</x:v>
      </x:c>
      <x:c r="E128" s="85" t="str">
        <x:v>API поддерживает экономное получение изменений.</x:v>
      </x:c>
      <x:c r="F128" s="85" t="str">
        <x:v>updatedSince либо ETag сокращает payload; индексы подтверждены explain-анализом; p95 соответствует бюджету.</x:v>
      </x:c>
      <x:c r="G128" s="85" t="str">
        <x:v>E08-BE-03</x:v>
      </x:c>
      <x:c r="H128" s="85" t="str">
        <x:v>FR-ORD-014</x:v>
      </x:c>
      <x:c r="I128" s="85" t="str">
        <x:v>architecture, OpenAPI</x:v>
      </x:c>
      <x:c r="J128" s="200" t="str">
        <x:v>M</x:v>
      </x:c>
      <x:c r="K128" s="200" t="str">
        <x:v>Must</x:v>
      </x:c>
      <x:c r="L128" s="188" t="str">
        <x:v>Запланировано</x:v>
      </x:c>
    </x:row>
    <x:row r="129" ht="66" customHeight="1">
      <x:c r="A129" s="192" t="str">
        <x:v>E08-BO-01</x:v>
      </x:c>
      <x:c r="B129" s="193" t="str">
        <x:v>E08</x:v>
      </x:c>
      <x:c r="C129" s="193" t="str">
        <x:v>Back-office</x:v>
      </x:c>
      <x:c r="D129" s="85" t="str">
        <x:v>Реализовать API-клиент заказов</x:v>
      </x:c>
      <x:c r="E129" s="85" t="str">
        <x:v>Back-office типизированно получает список, детали и переходы.</x:v>
      </x:c>
      <x:c r="F129" s="85" t="str">
        <x:v>Contract snapshot обновлён; expectedVersion передаётся; 409 преобразуется в conflict state.</x:v>
      </x:c>
      <x:c r="G129" s="85" t="str">
        <x:v>E08-BE-03–E08-BE-06,E03-QA-02</x:v>
      </x:c>
      <x:c r="H129" s="85" t="str">
        <x:v>FR-ORD-009–FR-ORD-015</x:v>
      </x:c>
      <x:c r="I129" s="85" t="str">
        <x:v>API contract, architecture</x:v>
      </x:c>
      <x:c r="J129" s="200" t="str">
        <x:v>M</x:v>
      </x:c>
      <x:c r="K129" s="200" t="str">
        <x:v>Must</x:v>
      </x:c>
      <x:c r="L129" s="188" t="str">
        <x:v>Запланировано</x:v>
      </x:c>
    </x:row>
    <x:row r="130" ht="66" customHeight="1">
      <x:c r="A130" s="192" t="str">
        <x:v>E08-BO-02</x:v>
      </x:c>
      <x:c r="B130" s="193" t="str">
        <x:v>E08</x:v>
      </x:c>
      <x:c r="C130" s="193" t="str">
        <x:v>Back-office</x:v>
      </x:c>
      <x:c r="D130" s="85" t="str">
        <x:v>Интегрировать очередь заказов</x:v>
      </x:c>
      <x:c r="E130" s="85" t="str">
        <x:v>OrdersPage показывает реальный список и фильтры.</x:v>
      </x:c>
      <x:c r="F130" s="85" t="str">
        <x:v>Counters, search, sorting, empty/loading/error и dense queue соответствуют Storybook.</x:v>
      </x:c>
      <x:c r="G130" s="85" t="str">
        <x:v>E08-BO-01,E03-BO-16</x:v>
      </x:c>
      <x:c r="H130" s="85" t="str">
        <x:v>FR-ORD-009</x:v>
      </x:c>
      <x:c r="I130" s="85" t="str">
        <x:v>routes, testing</x:v>
      </x:c>
      <x:c r="J130" s="200" t="str">
        <x:v>M</x:v>
      </x:c>
      <x:c r="K130" s="200" t="str">
        <x:v>Must</x:v>
      </x:c>
      <x:c r="L130" s="188" t="str">
        <x:v>Запланировано</x:v>
      </x:c>
    </x:row>
    <x:row r="131" ht="66" customHeight="1">
      <x:c r="A131" s="192" t="str">
        <x:v>E08-BO-03</x:v>
      </x:c>
      <x:c r="B131" s="193" t="str">
        <x:v>E08</x:v>
      </x:c>
      <x:c r="C131" s="193" t="str">
        <x:v>Back-office</x:v>
      </x:c>
      <x:c r="D131" s="85" t="str">
        <x:v>Интегрировать детали заказа</x:v>
      </x:c>
      <x:c r="E131" s="85" t="str">
        <x:v>Выбор карточки открывает состав и события.</x:v>
      </x:c>
      <x:c r="F131" s="85" t="str">
        <x:v>Selection сохраняется при polling; snapshot prices и timeline отображаются; tablet layout работает.</x:v>
      </x:c>
      <x:c r="G131" s="85" t="str">
        <x:v>E08-BO-01,E03-BO-16</x:v>
      </x:c>
      <x:c r="H131" s="85" t="str">
        <x:v>FR-ORD-010,FR-ORD-012</x:v>
      </x:c>
      <x:c r="I131" s="85" t="str">
        <x:v>testing</x:v>
      </x:c>
      <x:c r="J131" s="200" t="str">
        <x:v>M</x:v>
      </x:c>
      <x:c r="K131" s="200" t="str">
        <x:v>Must</x:v>
      </x:c>
      <x:c r="L131" s="188" t="str">
        <x:v>Запланировано</x:v>
      </x:c>
    </x:row>
    <x:row r="132" ht="66" customHeight="1">
      <x:c r="A132" s="192" t="str">
        <x:v>E08-BO-04</x:v>
      </x:c>
      <x:c r="B132" s="193" t="str">
        <x:v>E08</x:v>
      </x:c>
      <x:c r="C132" s="193" t="str">
        <x:v>Back-office</x:v>
      </x:c>
      <x:c r="D132" s="85" t="str">
        <x:v>Интегрировать действие Принять</x:v>
      </x:c>
      <x:c r="E132" s="85" t="str">
        <x:v>Новый заказ переводится в Принят.</x:v>
      </x:c>
      <x:c r="F132" s="85" t="str">
        <x:v>Pending state блокирует повтор; success обновляет card; conflict показывает актуальную стадию.</x:v>
      </x:c>
      <x:c r="G132" s="85" t="str">
        <x:v>E08-BO-03,E08-BE-05</x:v>
      </x:c>
      <x:c r="H132" s="85" t="str">
        <x:v>FR-ORD-011–FR-ORD-013</x:v>
      </x:c>
      <x:c r="I132" s="85" t="str">
        <x:v>testing</x:v>
      </x:c>
      <x:c r="J132" s="200" t="str">
        <x:v>S</x:v>
      </x:c>
      <x:c r="K132" s="200" t="str">
        <x:v>Must</x:v>
      </x:c>
      <x:c r="L132" s="188" t="str">
        <x:v>Запланировано</x:v>
      </x:c>
    </x:row>
    <x:row r="133" ht="66" customHeight="1">
      <x:c r="A133" s="192" t="str">
        <x:v>E08-BO-05</x:v>
      </x:c>
      <x:c r="B133" s="193" t="str">
        <x:v>E08</x:v>
      </x:c>
      <x:c r="C133" s="193" t="str">
        <x:v>Back-office</x:v>
      </x:c>
      <x:c r="D133" s="85" t="str">
        <x:v>Интегрировать действие Готовить</x:v>
      </x:c>
      <x:c r="E133" s="85" t="str">
        <x:v>Принятый заказ переводится в Готовится.</x:v>
      </x:c>
      <x:c r="F133" s="85" t="str">
        <x:v>Основная кнопка соответствует стадии; audit event виден после обновления.</x:v>
      </x:c>
      <x:c r="G133" s="85" t="str">
        <x:v>E08-BO-03,E08-BE-05</x:v>
      </x:c>
      <x:c r="H133" s="85" t="str">
        <x:v>FR-ORD-011–FR-ORD-013</x:v>
      </x:c>
      <x:c r="I133" s="85" t="str">
        <x:v>testing</x:v>
      </x:c>
      <x:c r="J133" s="200" t="str">
        <x:v>S</x:v>
      </x:c>
      <x:c r="K133" s="200" t="str">
        <x:v>Must</x:v>
      </x:c>
      <x:c r="L133" s="188" t="str">
        <x:v>Запланировано</x:v>
      </x:c>
    </x:row>
    <x:row r="134" ht="66" customHeight="1">
      <x:c r="A134" s="192" t="str">
        <x:v>E08-BO-06</x:v>
      </x:c>
      <x:c r="B134" s="193" t="str">
        <x:v>E08</x:v>
      </x:c>
      <x:c r="C134" s="193" t="str">
        <x:v>Back-office</x:v>
      </x:c>
      <x:c r="D134" s="85" t="str">
        <x:v>Интегрировать действие Готов</x:v>
      </x:c>
      <x:c r="E134" s="85" t="str">
        <x:v>Заказ в приготовлении переводится в Готов.</x:v>
      </x:c>
      <x:c r="F134" s="85" t="str">
        <x:v>Основная кнопка соответствует стадии; payment action появляется после success.</x:v>
      </x:c>
      <x:c r="G134" s="85" t="str">
        <x:v>E08-BO-03,E08-BE-05</x:v>
      </x:c>
      <x:c r="H134" s="85" t="str">
        <x:v>FR-ORD-011–FR-ORD-013</x:v>
      </x:c>
      <x:c r="I134" s="85" t="str">
        <x:v>testing</x:v>
      </x:c>
      <x:c r="J134" s="200" t="str">
        <x:v>S</x:v>
      </x:c>
      <x:c r="K134" s="200" t="str">
        <x:v>Must</x:v>
      </x:c>
      <x:c r="L134" s="188" t="str">
        <x:v>Запланировано</x:v>
      </x:c>
    </x:row>
    <x:row r="135" ht="66" customHeight="1">
      <x:c r="A135" s="192" t="str">
        <x:v>E08-BO-07</x:v>
      </x:c>
      <x:c r="B135" s="193" t="str">
        <x:v>E08</x:v>
      </x:c>
      <x:c r="C135" s="193" t="str">
        <x:v>Back-office</x:v>
      </x:c>
      <x:c r="D135" s="85" t="str">
        <x:v>Реализовать polling и сохранение контекста</x:v>
      </x:c>
      <x:c r="E135" s="85" t="str">
        <x:v>Очередь обновляется каждые 5 секунд.</x:v>
      </x:c>
      <x:c r="F135" s="85" t="str">
        <x:v>Выбранный заказ сохраняется; новые заказы появляются; paused tab снижает частоту; network recovery работает.</x:v>
      </x:c>
      <x:c r="G135" s="85" t="str">
        <x:v>E08-BO-02,E08-BO-03,E08-BE-06</x:v>
      </x:c>
      <x:c r="H135" s="85" t="str">
        <x:v>FR-ORD-014</x:v>
      </x:c>
      <x:c r="I135" s="85" t="str">
        <x:v>architecture, testing</x:v>
      </x:c>
      <x:c r="J135" s="200" t="str">
        <x:v>M</x:v>
      </x:c>
      <x:c r="K135" s="200" t="str">
        <x:v>Must</x:v>
      </x:c>
      <x:c r="L135" s="188" t="str">
        <x:v>Запланировано</x:v>
      </x:c>
    </x:row>
    <x:row r="136" ht="66" customHeight="1">
      <x:c r="A136" s="192" t="str">
        <x:v>E08-BO-08</x:v>
      </x:c>
      <x:c r="B136" s="193" t="str">
        <x:v>E08</x:v>
      </x:c>
      <x:c r="C136" s="193" t="str">
        <x:v>Back-office</x:v>
      </x:c>
      <x:c r="D136" s="85" t="str">
        <x:v>Реализовать обработку конфликтов</x:v>
      </x:c>
      <x:c r="E136" s="85" t="str">
        <x:v>Параллельные действия дают понятный актуальный результат.</x:v>
      </x:c>
      <x:c r="F136" s="85" t="str">
        <x:v>409 обновляет order version и UI; ConflictNotice соответствует Storybook; повторное действие следует новой стадии.</x:v>
      </x:c>
      <x:c r="G136" s="85" t="str">
        <x:v>E08-BO-04–E08-BO-07</x:v>
      </x:c>
      <x:c r="H136" s="85" t="str">
        <x:v>FR-ORD-013</x:v>
      </x:c>
      <x:c r="I136" s="85" t="str">
        <x:v>testing</x:v>
      </x:c>
      <x:c r="J136" s="200" t="str">
        <x:v>M</x:v>
      </x:c>
      <x:c r="K136" s="200" t="str">
        <x:v>Must</x:v>
      </x:c>
      <x:c r="L136" s="188" t="str">
        <x:v>Запланировано</x:v>
      </x:c>
    </x:row>
    <x:row r="137" ht="66" customHeight="1">
      <x:c r="A137" s="192" t="str">
        <x:v>E08-QA-01</x:v>
      </x:c>
      <x:c r="B137" s="193" t="str">
        <x:v>E08</x:v>
      </x:c>
      <x:c r="C137" s="193" t="str">
        <x:v>QA</x:v>
      </x:c>
      <x:c r="D137" s="85" t="str">
        <x:v>Покрыть очередь и стадии API тестами</x:v>
      </x:c>
      <x:c r="E137" s="85" t="str">
        <x:v>Роли, фильтры, переходы, аудит и concurrency подтверждены.</x:v>
      </x:c>
      <x:c r="F137" s="85" t="str">
        <x:v>Каждая стадия имеет success и conflict; barista/admin matrix проходит; pagination стабильна.</x:v>
      </x:c>
      <x:c r="G137" s="85" t="str">
        <x:v>E08-BE-01–E08-BE-06</x:v>
      </x:c>
      <x:c r="H137" s="85" t="str">
        <x:v>FR-ORD-009–FR-ORD-015</x:v>
      </x:c>
      <x:c r="I137" s="85" t="str">
        <x:v>testing</x:v>
      </x:c>
      <x:c r="J137" s="200" t="str">
        <x:v>L</x:v>
      </x:c>
      <x:c r="K137" s="200" t="str">
        <x:v>Must</x:v>
      </x:c>
      <x:c r="L137" s="188" t="str">
        <x:v>Запланировано</x:v>
      </x:c>
    </x:row>
    <x:row r="138" ht="66" customHeight="1">
      <x:c r="A138" s="192" t="str">
        <x:v>E08-QA-02</x:v>
      </x:c>
      <x:c r="B138" s="193" t="str">
        <x:v>E08</x:v>
      </x:c>
      <x:c r="C138" s="193" t="str">
        <x:v>QA</x:v>
      </x:c>
      <x:c r="D138" s="85" t="str">
        <x:v>Покрыть рабочую очередь browser E2E</x:v>
      </x:c>
      <x:c r="E138" s="85" t="str">
        <x:v>Сотрудник проводит заказ до стадии Готов.</x:v>
      </x:c>
      <x:c r="F138" s="85" t="str">
        <x:v>Новый заказ, filters, detail, accept, preparing, ready, polling и conflict проходят в браузере.</x:v>
      </x:c>
      <x:c r="G138" s="85" t="str">
        <x:v>E08-BO-02–E08-BO-08,E08-QA-01</x:v>
      </x:c>
      <x:c r="H138" s="85" t="str">
        <x:v>FR-ORD-009–FR-ORD-015</x:v>
      </x:c>
      <x:c r="I138" s="85" t="str">
        <x:v>testing</x:v>
      </x:c>
      <x:c r="J138" s="200" t="str">
        <x:v>L</x:v>
      </x:c>
      <x:c r="K138" s="200" t="str">
        <x:v>Must</x:v>
      </x:c>
      <x:c r="L138" s="188" t="str">
        <x:v>Запланировано</x:v>
      </x:c>
    </x:row>
    <x:row r="139" ht="66" customHeight="1">
      <x:c r="A139" s="192" t="str">
        <x:v>E09-BE-01</x:v>
      </x:c>
      <x:c r="B139" s="193" t="str">
        <x:v>E09</x:v>
      </x:c>
      <x:c r="C139" s="193" t="str">
        <x:v>Backend</x:v>
      </x:c>
      <x:c r="D139" s="85" t="str">
        <x:v>Реализовать доменные правила оплаты и выдачи</x:v>
      </x:c>
      <x:c r="E139" s="85" t="str">
        <x:v>Оплата развивается отдельно, выдача зависит от готовности и оплаты.</x:v>
      </x:c>
      <x:c r="F139" s="85" t="str">
        <x:v>UNPAID→PAID доступен на READY; issue доступен на READY/PAID; actor и time обязательны.</x:v>
      </x:c>
      <x:c r="G139" s="85" t="str">
        <x:v>E08-BE-01</x:v>
      </x:c>
      <x:c r="H139" s="85" t="str">
        <x:v>BR-005–BR-007,BR-012,FR-PAY-001–FR-PAY-005</x:v>
      </x:c>
      <x:c r="I139" s="85" t="str">
        <x:v>architecture, testing</x:v>
      </x:c>
      <x:c r="J139" s="200" t="str">
        <x:v>M</x:v>
      </x:c>
      <x:c r="K139" s="200" t="str">
        <x:v>Must</x:v>
      </x:c>
      <x:c r="L139" s="188" t="str">
        <x:v>Запланировано</x:v>
      </x:c>
    </x:row>
    <x:row r="140" ht="66" customHeight="1">
      <x:c r="A140" s="192" t="str">
        <x:v>E09-BE-02</x:v>
      </x:c>
      <x:c r="B140" s="193" t="str">
        <x:v>E09</x:v>
      </x:c>
      <x:c r="C140" s="193" t="str">
        <x:v>Backend</x:v>
      </x:c>
      <x:c r="D140" s="85" t="str">
        <x:v>Реализовать endpoint подтверждения оплаты</x:v>
      </x:c>
      <x:c r="E140" s="85" t="str">
        <x:v>Staff вручную фиксирует оплату после Эвотора.</x:v>
      </x:c>
      <x:c r="F140" s="85" t="str">
        <x:v>Endpoint принимает expectedVersion; создаёт event; повторный вызов идемпотентен по текущему состоянию.</x:v>
      </x:c>
      <x:c r="G140" s="85" t="str">
        <x:v>E09-BE-01,E08-BE-02</x:v>
      </x:c>
      <x:c r="H140" s="85" t="str">
        <x:v>FR-PAY-002–FR-PAY-004</x:v>
      </x:c>
      <x:c r="I140" s="85" t="str">
        <x:v>OpenAPI, testing</x:v>
      </x:c>
      <x:c r="J140" s="200" t="str">
        <x:v>M</x:v>
      </x:c>
      <x:c r="K140" s="200" t="str">
        <x:v>Must</x:v>
      </x:c>
      <x:c r="L140" s="188" t="str">
        <x:v>Запланировано</x:v>
      </x:c>
    </x:row>
    <x:row r="141" ht="66" customHeight="1">
      <x:c r="A141" s="192" t="str">
        <x:v>E09-BE-03</x:v>
      </x:c>
      <x:c r="B141" s="193" t="str">
        <x:v>E09</x:v>
      </x:c>
      <x:c r="C141" s="193" t="str">
        <x:v>Backend</x:v>
      </x:c>
      <x:c r="D141" s="85" t="str">
        <x:v>Реализовать endpoint выдачи</x:v>
      </x:c>
      <x:c r="E141" s="85" t="str">
        <x:v>Staff завершает оплаченный готовый заказ.</x:v>
      </x:c>
      <x:c r="F141" s="85" t="str">
        <x:v>READY/PAID→ISSUED проходит; READY/UNPAID возвращает business error; audit event создан.</x:v>
      </x:c>
      <x:c r="G141" s="85" t="str">
        <x:v>E09-BE-01,E08-BE-02</x:v>
      </x:c>
      <x:c r="H141" s="85" t="str">
        <x:v>FR-PAY-005,FR-ORD-011–FR-ORD-013</x:v>
      </x:c>
      <x:c r="I141" s="85" t="str">
        <x:v>OpenAPI, testing</x:v>
      </x:c>
      <x:c r="J141" s="200" t="str">
        <x:v>M</x:v>
      </x:c>
      <x:c r="K141" s="200" t="str">
        <x:v>Must</x:v>
      </x:c>
      <x:c r="L141" s="188" t="str">
        <x:v>Запланировано</x:v>
      </x:c>
    </x:row>
    <x:row r="142" ht="66" customHeight="1">
      <x:c r="A142" s="192" t="str">
        <x:v>E09-BO-01</x:v>
      </x:c>
      <x:c r="B142" s="193" t="str">
        <x:v>E09</x:v>
      </x:c>
      <x:c r="C142" s="193" t="str">
        <x:v>Back-office</x:v>
      </x:c>
      <x:c r="D142" s="85" t="str">
        <x:v>Интегрировать статус оплаты</x:v>
      </x:c>
      <x:c r="E142" s="85" t="str">
        <x:v>Queue card и details показывают К оплате либо Оплачен.</x:v>
      </x:c>
      <x:c r="F142" s="85" t="str">
        <x:v>Статус обновляется polling; текст и иконка соответствуют Storybook.</x:v>
      </x:c>
      <x:c r="G142" s="85" t="str">
        <x:v>E09-BE-02,E08-BO-02,E08-BO-03</x:v>
      </x:c>
      <x:c r="H142" s="85" t="str">
        <x:v>FR-PAY-001</x:v>
      </x:c>
      <x:c r="I142" s="85" t="str">
        <x:v>testing</x:v>
      </x:c>
      <x:c r="J142" s="200" t="str">
        <x:v>S</x:v>
      </x:c>
      <x:c r="K142" s="200" t="str">
        <x:v>Must</x:v>
      </x:c>
      <x:c r="L142" s="188" t="str">
        <x:v>Запланировано</x:v>
      </x:c>
    </x:row>
    <x:row r="143" ht="66" customHeight="1">
      <x:c r="A143" s="192" t="str">
        <x:v>E09-BO-02</x:v>
      </x:c>
      <x:c r="B143" s="193" t="str">
        <x:v>E09</x:v>
      </x:c>
      <x:c r="C143" s="193" t="str">
        <x:v>Back-office</x:v>
      </x:c>
      <x:c r="D143" s="85" t="str">
        <x:v>Интегрировать действие Оплата получена</x:v>
      </x:c>
      <x:c r="E143" s="85" t="str">
        <x:v>Сотрудник фиксирует кассовую операцию.</x:v>
      </x:c>
      <x:c r="F143" s="85" t="str">
        <x:v>Кнопка доступна на READY/UNPAID; pending/conflict/success состояния работают; сотрудник виден в timeline.</x:v>
      </x:c>
      <x:c r="G143" s="85" t="str">
        <x:v>E09-BE-02,E03-BO-08</x:v>
      </x:c>
      <x:c r="H143" s="85" t="str">
        <x:v>FR-PAY-002–FR-PAY-004</x:v>
      </x:c>
      <x:c r="I143" s="85" t="str">
        <x:v>testing</x:v>
      </x:c>
      <x:c r="J143" s="200" t="str">
        <x:v>M</x:v>
      </x:c>
      <x:c r="K143" s="200" t="str">
        <x:v>Must</x:v>
      </x:c>
      <x:c r="L143" s="188" t="str">
        <x:v>Запланировано</x:v>
      </x:c>
    </x:row>
    <x:row r="144" ht="66" customHeight="1">
      <x:c r="A144" s="192" t="str">
        <x:v>E09-BO-03</x:v>
      </x:c>
      <x:c r="B144" s="193" t="str">
        <x:v>E09</x:v>
      </x:c>
      <x:c r="C144" s="193" t="str">
        <x:v>Back-office</x:v>
      </x:c>
      <x:c r="D144" s="85" t="str">
        <x:v>Интегрировать действие Выдать</x:v>
      </x:c>
      <x:c r="E144" s="85" t="str">
        <x:v>Сотрудник завершает заказ после оплаты.</x:v>
      </x:c>
      <x:c r="F144" s="85" t="str">
        <x:v>Кнопка доступна на READY/PAID; success переводит в ISSUED; конфликт обрабатывается.</x:v>
      </x:c>
      <x:c r="G144" s="85" t="str">
        <x:v>E09-BE-03,E03-BO-08</x:v>
      </x:c>
      <x:c r="H144" s="85" t="str">
        <x:v>FR-PAY-005</x:v>
      </x:c>
      <x:c r="I144" s="85" t="str">
        <x:v>testing</x:v>
      </x:c>
      <x:c r="J144" s="200" t="str">
        <x:v>M</x:v>
      </x:c>
      <x:c r="K144" s="200" t="str">
        <x:v>Must</x:v>
      </x:c>
      <x:c r="L144" s="188" t="str">
        <x:v>Запланировано</x:v>
      </x:c>
    </x:row>
    <x:row r="145" ht="66" customHeight="1">
      <x:c r="A145" s="192" t="str">
        <x:v>E09-FO-01</x:v>
      </x:c>
      <x:c r="B145" s="193" t="str">
        <x:v>E09</x:v>
      </x:c>
      <x:c r="C145" s="193" t="str">
        <x:v>Front-office</x:v>
      </x:c>
      <x:c r="D145" s="85" t="str">
        <x:v>Показать постоплату в корзине и заказе</x:v>
      </x:c>
      <x:c r="E145" s="85" t="str">
        <x:v>Customer видит момент и статус оплаты.</x:v>
      </x:c>
      <x:c r="F145" s="85" t="str">
        <x:v>Текст про кассу есть в cart и order; payment badge обновляется после подтверждения.</x:v>
      </x:c>
      <x:c r="G145" s="85" t="str">
        <x:v>E09-BE-02,E07-FO-03,E02-FO-11</x:v>
      </x:c>
      <x:c r="H145" s="85" t="str">
        <x:v>FR-PAY-001,FR-PAY-006,FR-PAY-007</x:v>
      </x:c>
      <x:c r="I145" s="85" t="str">
        <x:v>testing</x:v>
      </x:c>
      <x:c r="J145" s="200" t="str">
        <x:v>S</x:v>
      </x:c>
      <x:c r="K145" s="200" t="str">
        <x:v>Must</x:v>
      </x:c>
      <x:c r="L145" s="188" t="str">
        <x:v>Запланировано</x:v>
      </x:c>
    </x:row>
    <x:row r="146" ht="66" customHeight="1">
      <x:c r="A146" s="192" t="str">
        <x:v>E09-QA-01</x:v>
      </x:c>
      <x:c r="B146" s="193" t="str">
        <x:v>E09</x:v>
      </x:c>
      <x:c r="C146" s="193" t="str">
        <x:v>QA</x:v>
      </x:c>
      <x:c r="D146" s="85" t="str">
        <x:v>Покрыть постоплату API тестами</x:v>
      </x:c>
      <x:c r="E146" s="85" t="str">
        <x:v>Доменные ограничения оплаты и выдачи подтверждены.</x:v>
      </x:c>
      <x:c r="F146" s="85" t="str">
        <x:v>READY/UNPAID, READY/PAID, duplicate confirm, issue guard и concurrency проходят.</x:v>
      </x:c>
      <x:c r="G146" s="85" t="str">
        <x:v>E09-BE-01–E09-BE-03</x:v>
      </x:c>
      <x:c r="H146" s="85" t="str">
        <x:v>FR-PAY-001–FR-PAY-007</x:v>
      </x:c>
      <x:c r="I146" s="85" t="str">
        <x:v>testing</x:v>
      </x:c>
      <x:c r="J146" s="200" t="str">
        <x:v>M</x:v>
      </x:c>
      <x:c r="K146" s="200" t="str">
        <x:v>Must</x:v>
      </x:c>
      <x:c r="L146" s="188" t="str">
        <x:v>Запланировано</x:v>
      </x:c>
    </x:row>
    <x:row r="147" ht="66" customHeight="1">
      <x:c r="A147" s="192" t="str">
        <x:v>E09-QA-02</x:v>
      </x:c>
      <x:c r="B147" s="193" t="str">
        <x:v>E09</x:v>
      </x:c>
      <x:c r="C147" s="193" t="str">
        <x:v>QA</x:v>
      </x:c>
      <x:c r="D147" s="85" t="str">
        <x:v>Покрыть постоплату browser E2E</x:v>
      </x:c>
      <x:c r="E147" s="85" t="str">
        <x:v>Оператор проходит кассовый шаг и выдачу.</x:v>
      </x:c>
      <x:c r="F147" s="85" t="str">
        <x:v>Ready order показывает payment action; confirm payment; issue; customer видит paid и issued.</x:v>
      </x:c>
      <x:c r="G147" s="85" t="str">
        <x:v>E09-BO-01–E09-BO-03,E09-FO-01,E09-QA-01</x:v>
      </x:c>
      <x:c r="H147" s="85" t="str">
        <x:v>FR-PAY-001–FR-PAY-007</x:v>
      </x:c>
      <x:c r="I147" s="85" t="str">
        <x:v>testing</x:v>
      </x:c>
      <x:c r="J147" s="200" t="str">
        <x:v>L</x:v>
      </x:c>
      <x:c r="K147" s="200" t="str">
        <x:v>Must</x:v>
      </x:c>
      <x:c r="L147" s="188" t="str">
        <x:v>Запланировано</x:v>
      </x:c>
    </x:row>
    <x:row r="148" ht="66" customHeight="1">
      <x:c r="A148" s="192" t="str">
        <x:v>E10-BE-01</x:v>
      </x:c>
      <x:c r="B148" s="193" t="str">
        <x:v>E10</x:v>
      </x:c>
      <x:c r="C148" s="193" t="str">
        <x:v>Backend</x:v>
      </x:c>
      <x:c r="D148" s="85" t="str">
        <x:v>Реализовать API текущего и отдельного заказа customer</x:v>
      </x:c>
      <x:c r="E148" s="85" t="str">
        <x:v>Customer получает собственный заказ с составом, снимками цен, стадией, оплатой и журналом событий.</x:v>
      </x:c>
      <x:c r="F148" s="85" t="str">
        <x:v>GET /customer/orders/{id} проверяет владельца; ответ содержит orderNumber, items, total, fulfillmentStage, paymentStatus, createdAt, events; чужой id даёт 404.</x:v>
      </x:c>
      <x:c r="G148" s="85" t="str">
        <x:v>E07-BE-04,E08-BE-02,E09-BE-02</x:v>
      </x:c>
      <x:c r="H148" s="85" t="str">
        <x:v>FR-HIST-001,FR-HIST-003,FR-HIST-004,FR-HIST-005</x:v>
      </x:c>
      <x:c r="I148" s="85" t="str">
        <x:v>openapi,domain,security</x:v>
      </x:c>
      <x:c r="J148" s="200" t="str">
        <x:v>M</x:v>
      </x:c>
      <x:c r="K148" s="200" t="str">
        <x:v>Must</x:v>
      </x:c>
      <x:c r="L148" s="188" t="str">
        <x:v>Запланировано</x:v>
      </x:c>
    </x:row>
    <x:row r="149" ht="66" customHeight="1">
      <x:c r="A149" s="192" t="str">
        <x:v>E10-BE-02</x:v>
      </x:c>
      <x:c r="B149" s="193" t="str">
        <x:v>E10</x:v>
      </x:c>
      <x:c r="C149" s="193" t="str">
        <x:v>Backend</x:v>
      </x:c>
      <x:c r="D149" s="85" t="str">
        <x:v>Реализовать API истории заказов customer</x:v>
      </x:c>
      <x:c r="E149" s="85" t="str">
        <x:v>Customer получает устойчивую постраничную историю собственных заказов.</x:v>
      </x:c>
      <x:c r="F149" s="85" t="str">
        <x:v>GET /customer/orders использует cursor pagination; сортировка createdAt DESC и id DESC; ответ содержит summary и nextCursor; выборка ограничена текущим customer.</x:v>
      </x:c>
      <x:c r="G149" s="85" t="str">
        <x:v>E10-BE-01</x:v>
      </x:c>
      <x:c r="H149" s="85" t="str">
        <x:v>FR-HIST-002,FR-HIST-005,FR-HIST-006</x:v>
      </x:c>
      <x:c r="I149" s="85" t="str">
        <x:v>openapi,queries</x:v>
      </x:c>
      <x:c r="J149" s="200" t="str">
        <x:v>M</x:v>
      </x:c>
      <x:c r="K149" s="200" t="str">
        <x:v>Must</x:v>
      </x:c>
      <x:c r="L149" s="188" t="str">
        <x:v>Запланировано</x:v>
      </x:c>
    </x:row>
    <x:row r="150" ht="66" customHeight="1">
      <x:c r="A150" s="192" t="str">
        <x:v>E10-BE-03</x:v>
      </x:c>
      <x:c r="B150" s="193" t="str">
        <x:v>E10</x:v>
      </x:c>
      <x:c r="C150" s="193" t="str">
        <x:v>Backend</x:v>
      </x:c>
      <x:c r="D150" s="85" t="str">
        <x:v>Оптимизировать обновление текущего заказа</x:v>
      </x:c>
      <x:c r="E150" s="85" t="str">
        <x:v>Front-office обновляет состояние заказа с минимальным объёмом трафика.</x:v>
      </x:c>
      <x:c r="F150" s="85" t="str">
        <x:v>Ответ заказа содержит version и ETag; If-None-Match возвращает 304; каждое событие стадии или оплаты увеличивает version.</x:v>
      </x:c>
      <x:c r="G150" s="85" t="str">
        <x:v>E10-BE-01</x:v>
      </x:c>
      <x:c r="H150" s="85" t="str">
        <x:v>FR-HIST-001,FR-HIST-003,FR-HIST-004</x:v>
      </x:c>
      <x:c r="I150" s="85" t="str">
        <x:v>openapi,observability</x:v>
      </x:c>
      <x:c r="J150" s="200" t="str">
        <x:v>S</x:v>
      </x:c>
      <x:c r="K150" s="200" t="str">
        <x:v>Must</x:v>
      </x:c>
      <x:c r="L150" s="188" t="str">
        <x:v>Запланировано</x:v>
      </x:c>
    </x:row>
    <x:row r="151" ht="66" customHeight="1">
      <x:c r="A151" s="192" t="str">
        <x:v>E10-FO-01</x:v>
      </x:c>
      <x:c r="B151" s="193" t="str">
        <x:v>E10</x:v>
      </x:c>
      <x:c r="C151" s="193" t="str">
        <x:v>Front-office</x:v>
      </x:c>
      <x:c r="D151" s="85" t="str">
        <x:v>Реализовать API-клиент заказов customer</x:v>
      </x:c>
      <x:c r="E151" s="85" t="str">
        <x:v>Front-office получает текущий заказ, детали и историю через типизированные модели.</x:v>
      </x:c>
      <x:c r="F151" s="85" t="str">
        <x:v>Клиент поддерживает detail, list, cursor и ETag; ошибки отображаются через общую модель; контракты дублируются локально по OpenAPI.</x:v>
      </x:c>
      <x:c r="G151" s="85" t="str">
        <x:v>E10-BE-01,E10-BE-02,E10-BE-03</x:v>
      </x:c>
      <x:c r="H151" s="85" t="str">
        <x:v>FR-HIST-001–FR-HIST-006</x:v>
      </x:c>
      <x:c r="I151" s="85" t="str">
        <x:v>api-client,models</x:v>
      </x:c>
      <x:c r="J151" s="200" t="str">
        <x:v>M</x:v>
      </x:c>
      <x:c r="K151" s="200" t="str">
        <x:v>Must</x:v>
      </x:c>
      <x:c r="L151" s="188" t="str">
        <x:v>Запланировано</x:v>
      </x:c>
    </x:row>
    <x:row r="152" ht="66" customHeight="1">
      <x:c r="A152" s="192" t="str">
        <x:v>E10-FO-02</x:v>
      </x:c>
      <x:c r="B152" s="193" t="str">
        <x:v>E10</x:v>
      </x:c>
      <x:c r="C152" s="193" t="str">
        <x:v>Front-office</x:v>
      </x:c>
      <x:c r="D152" s="85" t="str">
        <x:v>Интегрировать CurrentOrderPage</x:v>
      </x:c>
      <x:c r="E152" s="85" t="str">
        <x:v>Customer видит номер, состав, сумму, стадию исполнения, статус оплаты и подсказку следующего действия.</x:v>
      </x:c>
      <x:c r="F152" s="85" t="str">
        <x:v>Страница использует согласованные Storybook-компоненты; polling выполняется с интервалом до 10 секунд; terminal stage снижает частоту обновления; переходы сохраняют доступность страницы по прямому URL.</x:v>
      </x:c>
      <x:c r="G152" s="85" t="str">
        <x:v>E02-FO-17,E10-FO-01</x:v>
      </x:c>
      <x:c r="H152" s="85" t="str">
        <x:v>FR-HIST-001,FR-HIST-003,FR-HIST-004</x:v>
      </x:c>
      <x:c r="I152" s="85" t="str">
        <x:v>routes,state,ux</x:v>
      </x:c>
      <x:c r="J152" s="200" t="str">
        <x:v>M</x:v>
      </x:c>
      <x:c r="K152" s="200" t="str">
        <x:v>Must</x:v>
      </x:c>
      <x:c r="L152" s="188" t="str">
        <x:v>Запланировано</x:v>
      </x:c>
    </x:row>
    <x:row r="153" ht="66" customHeight="1">
      <x:c r="A153" s="192" t="str">
        <x:v>E10-FO-03</x:v>
      </x:c>
      <x:c r="B153" s="193" t="str">
        <x:v>E10</x:v>
      </x:c>
      <x:c r="C153" s="193" t="str">
        <x:v>Front-office</x:v>
      </x:c>
      <x:c r="D153" s="85" t="str">
        <x:v>Интегрировать HistoryPage</x:v>
      </x:c>
      <x:c r="E153" s="85" t="str">
        <x:v>Customer просматривает список прошлых заказов и догружает следующую страницу.</x:v>
      </x:c>
      <x:c r="F153" s="85" t="str">
        <x:v>Список отсортирован от новых к старым; карточка содержит номер, дату, сумму, стадию и оплату; cursor pagination сохраняет уже загруженные элементы.</x:v>
      </x:c>
      <x:c r="G153" s="85" t="str">
        <x:v>E02-FO-17,E10-FO-01</x:v>
      </x:c>
      <x:c r="H153" s="85" t="str">
        <x:v>FR-HIST-002,FR-HIST-006</x:v>
      </x:c>
      <x:c r="I153" s="85" t="str">
        <x:v>routes,state,ux</x:v>
      </x:c>
      <x:c r="J153" s="200" t="str">
        <x:v>M</x:v>
      </x:c>
      <x:c r="K153" s="200" t="str">
        <x:v>Must</x:v>
      </x:c>
      <x:c r="L153" s="188" t="str">
        <x:v>Запланировано</x:v>
      </x:c>
    </x:row>
    <x:row r="154" ht="66" customHeight="1">
      <x:c r="A154" s="192" t="str">
        <x:v>E10-FO-04</x:v>
      </x:c>
      <x:c r="B154" s="193" t="str">
        <x:v>E10</x:v>
      </x:c>
      <x:c r="C154" s="193" t="str">
        <x:v>Front-office</x:v>
      </x:c>
      <x:c r="D154" s="85" t="str">
        <x:v>Интегрировать детали исторического заказа</x:v>
      </x:c>
      <x:c r="E154" s="85" t="str">
        <x:v>Customer открывает полную конфигурацию выбранного заказа из истории.</x:v>
      </x:c>
      <x:c r="F154" s="85" t="str">
        <x:v>Детали содержат снимки названий, размеров, добавок, количества и цен; возврат сохраняет позицию списка; неизвестный или чужой заказ показывает единое состояние 404.</x:v>
      </x:c>
      <x:c r="G154" s="85" t="str">
        <x:v>E10-FO-02,E10-FO-03</x:v>
      </x:c>
      <x:c r="H154" s="85" t="str">
        <x:v>FR-HIST-003,FR-HIST-004,FR-HIST-005</x:v>
      </x:c>
      <x:c r="I154" s="85" t="str">
        <x:v>routes,state,ux</x:v>
      </x:c>
      <x:c r="J154" s="200" t="str">
        <x:v>S</x:v>
      </x:c>
      <x:c r="K154" s="200" t="str">
        <x:v>Must</x:v>
      </x:c>
      <x:c r="L154" s="188" t="str">
        <x:v>Запланировано</x:v>
      </x:c>
    </x:row>
    <x:row r="155" ht="66" customHeight="1">
      <x:c r="A155" s="192" t="str">
        <x:v>E10-QA-01</x:v>
      </x:c>
      <x:c r="B155" s="193" t="str">
        <x:v>E10</x:v>
      </x:c>
      <x:c r="C155" s="193" t="str">
        <x:v>QA</x:v>
      </x:c>
      <x:c r="D155" s="85" t="str">
        <x:v>Покрыть историю и владение заказами API тестами</x:v>
      </x:c>
      <x:c r="E155" s="85" t="str">
        <x:v>API гарантирует изоляцию customer, стабильную пагинацию и корректное обновление версии.</x:v>
      </x:c>
      <x:c r="F155" s="85" t="str">
        <x:v>Тесты охватывают двух customer, чужой id, cursor, равные createdAt, ETag 304, смену стадии, смену оплаты и снимки удалённого товара.</x:v>
      </x:c>
      <x:c r="G155" s="85" t="str">
        <x:v>E10-BE-01–E10-BE-03</x:v>
      </x:c>
      <x:c r="H155" s="85" t="str">
        <x:v>FR-HIST-001–FR-HIST-006</x:v>
      </x:c>
      <x:c r="I155" s="85" t="str">
        <x:v>testing</x:v>
      </x:c>
      <x:c r="J155" s="200" t="str">
        <x:v>M</x:v>
      </x:c>
      <x:c r="K155" s="200" t="str">
        <x:v>Must</x:v>
      </x:c>
      <x:c r="L155" s="188" t="str">
        <x:v>Запланировано</x:v>
      </x:c>
    </x:row>
    <x:row r="156" ht="66" customHeight="1">
      <x:c r="A156" s="192" t="str">
        <x:v>E10-QA-02</x:v>
      </x:c>
      <x:c r="B156" s="193" t="str">
        <x:v>E10</x:v>
      </x:c>
      <x:c r="C156" s="193" t="str">
        <x:v>QA</x:v>
      </x:c>
      <x:c r="D156" s="85" t="str">
        <x:v>Покрыть текущий заказ и историю browser E2E</x:v>
      </x:c>
      <x:c r="E156" s="85" t="str">
        <x:v>Клиентский путь отображает изменения от создания до выдачи и сохраняет заказ в истории.</x:v>
      </x:c>
      <x:c r="F156" s="85" t="str">
        <x:v>Сценарий создаёт заказ, проводит стадии и оплату через API/back-office, проверяет polling, issued state, список истории, детали и изоляцию сессий.</x:v>
      </x:c>
      <x:c r="G156" s="85" t="str">
        <x:v>E10-FO-01–E10-FO-04,E10-QA-01</x:v>
      </x:c>
      <x:c r="H156" s="85" t="str">
        <x:v>FR-HIST-001–FR-HIST-006</x:v>
      </x:c>
      <x:c r="I156" s="85" t="str">
        <x:v>testing</x:v>
      </x:c>
      <x:c r="J156" s="200" t="str">
        <x:v>L</x:v>
      </x:c>
      <x:c r="K156" s="200" t="str">
        <x:v>Must</x:v>
      </x:c>
      <x:c r="L156" s="188" t="str">
        <x:v>Запланировано</x:v>
      </x:c>
    </x:row>
    <x:row r="157" ht="66" customHeight="1">
      <x:c r="A157" s="192" t="str">
        <x:v>E11-BE-01</x:v>
      </x:c>
      <x:c r="B157" s="193" t="str">
        <x:v>E11</x:v>
      </x:c>
      <x:c r="C157" s="193" t="str">
        <x:v>Backend</x:v>
      </x:c>
      <x:c r="D157" s="85" t="str">
        <x:v>Реализовать изменение доступности товара</x:v>
      </x:c>
      <x:c r="E157" s="85" t="str">
        <x:v>Barista и administrator включают или выключают продажу товара.</x:v>
      </x:c>
      <x:c r="F157" s="85" t="str">
        <x:v>PATCH /backoffice/availability/products/{id} принимает isAvailable и expectedVersion; изменение фиксирует actor, timestamp и reason optional; публичное меню отражает результат.</x:v>
      </x:c>
      <x:c r="G157" s="85" t="str">
        <x:v>E05-BE-03,E06-BE-02,E08-BE-02</x:v>
      </x:c>
      <x:c r="H157" s="85" t="str">
        <x:v>FR-AVL-001,FR-AVL-005,FR-AVL-006,FR-AVL-007</x:v>
      </x:c>
      <x:c r="I157" s="85" t="str">
        <x:v>openapi,domain,audit</x:v>
      </x:c>
      <x:c r="J157" s="200" t="str">
        <x:v>M</x:v>
      </x:c>
      <x:c r="K157" s="200" t="str">
        <x:v>Must</x:v>
      </x:c>
      <x:c r="L157" s="188" t="str">
        <x:v>Запланировано</x:v>
      </x:c>
    </x:row>
    <x:row r="158" ht="66" customHeight="1">
      <x:c r="A158" s="192" t="str">
        <x:v>E11-BE-02</x:v>
      </x:c>
      <x:c r="B158" s="193" t="str">
        <x:v>E11</x:v>
      </x:c>
      <x:c r="C158" s="193" t="str">
        <x:v>Backend</x:v>
      </x:c>
      <x:c r="D158" s="85" t="str">
        <x:v>Реализовать изменение доступности размера</x:v>
      </x:c>
      <x:c r="E158" s="85" t="str">
        <x:v>Barista и administrator управляют продажей отдельного варианта размера.</x:v>
      </x:c>
      <x:c r="F158" s="85" t="str">
        <x:v>PATCH /backoffice/availability/variants/{id} применяет optimistic concurrency; товар остаётся доступным при наличии хотя бы одного доступного варианта; публичное меню возвращает состояние каждого варианта.</x:v>
      </x:c>
      <x:c r="G158" s="85" t="str">
        <x:v>E05-BE-03,E06-BE-03</x:v>
      </x:c>
      <x:c r="H158" s="85" t="str">
        <x:v>FR-AVL-002,FR-AVL-005,FR-AVL-006,FR-AVL-007,FR-AVL-008</x:v>
      </x:c>
      <x:c r="I158" s="85" t="str">
        <x:v>openapi,domain,audit</x:v>
      </x:c>
      <x:c r="J158" s="200" t="str">
        <x:v>M</x:v>
      </x:c>
      <x:c r="K158" s="200" t="str">
        <x:v>Must</x:v>
      </x:c>
      <x:c r="L158" s="188" t="str">
        <x:v>Запланировано</x:v>
      </x:c>
    </x:row>
    <x:row r="159" ht="66" customHeight="1">
      <x:c r="A159" s="192" t="str">
        <x:v>E11-BE-03</x:v>
      </x:c>
      <x:c r="B159" s="193" t="str">
        <x:v>E11</x:v>
      </x:c>
      <x:c r="C159" s="193" t="str">
        <x:v>Backend</x:v>
      </x:c>
      <x:c r="D159" s="85" t="str">
        <x:v>Реализовать изменение доступности добавки</x:v>
      </x:c>
      <x:c r="E159" s="85" t="str">
        <x:v>Barista и administrator управляют продажей отдельного варианта добавки.</x:v>
      </x:c>
      <x:c r="F159" s="85" t="str">
        <x:v>PATCH /backoffice/availability/modifier-options/{id} применяет optimistic concurrency; публичное меню показывает только доступные варианты выбора; сервер оформления отвечает CART_STALE для устаревшей конфигурации.</x:v>
      </x:c>
      <x:c r="G159" s="85" t="str">
        <x:v>E05-BE-03,E06-BE-05,E07-BE-02</x:v>
      </x:c>
      <x:c r="H159" s="85" t="str">
        <x:v>FR-AVL-003,FR-AVL-005,FR-AVL-006,FR-AVL-007,FR-AVL-008</x:v>
      </x:c>
      <x:c r="I159" s="85" t="str">
        <x:v>openapi,domain,audit</x:v>
      </x:c>
      <x:c r="J159" s="200" t="str">
        <x:v>M</x:v>
      </x:c>
      <x:c r="K159" s="200" t="str">
        <x:v>Must</x:v>
      </x:c>
      <x:c r="L159" s="188" t="str">
        <x:v>Запланировано</x:v>
      </x:c>
    </x:row>
    <x:row r="160" ht="66" customHeight="1">
      <x:c r="A160" s="192" t="str">
        <x:v>E11-BE-04</x:v>
      </x:c>
      <x:c r="B160" s="193" t="str">
        <x:v>E11</x:v>
      </x:c>
      <x:c r="C160" s="193" t="str">
        <x:v>Backend</x:v>
      </x:c>
      <x:c r="D160" s="85" t="str">
        <x:v>Реализовать глобальное управление приёмом заказов</x:v>
      </x:c>
      <x:c r="E160" s="85" t="str">
        <x:v>Сотрудник приостанавливает и возобновляет создание новых заказов.</x:v>
      </x:c>
      <x:c r="F160" s="85" t="str">
        <x:v>GET/PATCH /backoffice/order-intake возвращает enabled, reason, actor и changedAt; public menu возвращает orderIntake; create order при paused выдаёт ORDER_INTAKE_PAUSED.</x:v>
      </x:c>
      <x:c r="G160" s="85" t="str">
        <x:v>E07-BE-04,E04-BE-07</x:v>
      </x:c>
      <x:c r="H160" s="85" t="str">
        <x:v>BR-013,FR-AVL-004,FR-AVL-005,FR-AVL-006,FR-AVL-007,FR-AVL-008</x:v>
      </x:c>
      <x:c r="I160" s="85" t="str">
        <x:v>openapi,domain,audit,operations</x:v>
      </x:c>
      <x:c r="J160" s="200" t="str">
        <x:v>M</x:v>
      </x:c>
      <x:c r="K160" s="200" t="str">
        <x:v>Must</x:v>
      </x:c>
      <x:c r="L160" s="188" t="str">
        <x:v>Запланировано</x:v>
      </x:c>
    </x:row>
    <x:row r="161" ht="66" customHeight="1">
      <x:c r="A161" s="192" t="str">
        <x:v>E11-BO-01</x:v>
      </x:c>
      <x:c r="B161" s="193" t="str">
        <x:v>E11</x:v>
      </x:c>
      <x:c r="C161" s="193" t="str">
        <x:v>Back-office</x:v>
      </x:c>
      <x:c r="D161" s="85" t="str">
        <x:v>Реализовать API-клиент доступности</x:v>
      </x:c>
      <x:c r="E161" s="85" t="str">
        <x:v>Back-office получает дерево доступности и выполняет версионные изменения.</x:v>
      </x:c>
      <x:c r="F161" s="85" t="str">
        <x:v>Клиент поддерживает products, variants, modifier options и order intake; модели ошибок включают conflict и validation; типы хранятся локально.</x:v>
      </x:c>
      <x:c r="G161" s="85" t="str">
        <x:v>E11-BE-01–E11-BE-04</x:v>
      </x:c>
      <x:c r="H161" s="85" t="str">
        <x:v>FR-AVL-001–FR-AVL-008</x:v>
      </x:c>
      <x:c r="I161" s="85" t="str">
        <x:v>api-client,models</x:v>
      </x:c>
      <x:c r="J161" s="200" t="str">
        <x:v>M</x:v>
      </x:c>
      <x:c r="K161" s="200" t="str">
        <x:v>Must</x:v>
      </x:c>
      <x:c r="L161" s="188" t="str">
        <x:v>Запланировано</x:v>
      </x:c>
    </x:row>
    <x:row r="162" ht="66" customHeight="1">
      <x:c r="A162" s="192" t="str">
        <x:v>E11-BO-02</x:v>
      </x:c>
      <x:c r="B162" s="193" t="str">
        <x:v>E11</x:v>
      </x:c>
      <x:c r="C162" s="193" t="str">
        <x:v>Back-office</x:v>
      </x:c>
      <x:c r="D162" s="85" t="str">
        <x:v>Интегрировать AvailabilityPage</x:v>
      </x:c>
      <x:c r="E162" s="85" t="str">
        <x:v>Сотрудник видит категории, товары, размеры и добавки в едином рабочем представлении.</x:v>
      </x:c>
      <x:c r="F162" s="85" t="str">
        <x:v>Страница использует Storybook-композицию; поддерживает поиск, сворачивание категорий, loading, empty, error и read-only состояния по роли.</x:v>
      </x:c>
      <x:c r="G162" s="85" t="str">
        <x:v>E03-BO-09,E03-BO-10,E03-BO-16,E11-BO-01</x:v>
      </x:c>
      <x:c r="H162" s="85" t="str">
        <x:v>FR-AVL-001,FR-AVL-002,FR-AVL-003,FR-AVL-006</x:v>
      </x:c>
      <x:c r="I162" s="85" t="str">
        <x:v>routes,state,ux</x:v>
      </x:c>
      <x:c r="J162" s="200" t="str">
        <x:v>M</x:v>
      </x:c>
      <x:c r="K162" s="200" t="str">
        <x:v>Must</x:v>
      </x:c>
      <x:c r="L162" s="188" t="str">
        <x:v>Запланировано</x:v>
      </x:c>
    </x:row>
    <x:row r="163" ht="66" customHeight="1">
      <x:c r="A163" s="192" t="str">
        <x:v>E11-BO-03</x:v>
      </x:c>
      <x:c r="B163" s="193" t="str">
        <x:v>E11</x:v>
      </x:c>
      <x:c r="C163" s="193" t="str">
        <x:v>Back-office</x:v>
      </x:c>
      <x:c r="D163" s="85" t="str">
        <x:v>Интегрировать переключатели доступности с откатом</x:v>
      </x:c>
      <x:c r="E163" s="85" t="str">
        <x:v>Изменение отображается сразу и синхронизируется с backend.</x:v>
      </x:c>
      <x:c r="F163" s="85" t="str">
        <x:v>UI применяет optimistic update, блокирует повторное действие для сущности, откатывает состояние при ошибке, показывает conflict с актуальными данными и метаданные последнего изменения.</x:v>
      </x:c>
      <x:c r="G163" s="85" t="str">
        <x:v>E11-BO-01,E11-BO-02</x:v>
      </x:c>
      <x:c r="H163" s="85" t="str">
        <x:v>FR-AVL-001,FR-AVL-002,FR-AVL-003,FR-AVL-005,FR-AVL-006</x:v>
      </x:c>
      <x:c r="I163" s="85" t="str">
        <x:v>state,ux</x:v>
      </x:c>
      <x:c r="J163" s="200" t="str">
        <x:v>M</x:v>
      </x:c>
      <x:c r="K163" s="200" t="str">
        <x:v>Must</x:v>
      </x:c>
      <x:c r="L163" s="188" t="str">
        <x:v>Запланировано</x:v>
      </x:c>
    </x:row>
    <x:row r="164" ht="66" customHeight="1">
      <x:c r="A164" s="192" t="str">
        <x:v>E11-BO-04</x:v>
      </x:c>
      <x:c r="B164" s="193" t="str">
        <x:v>E11</x:v>
      </x:c>
      <x:c r="C164" s="193" t="str">
        <x:v>Back-office</x:v>
      </x:c>
      <x:c r="D164" s="85" t="str">
        <x:v>Интегрировать управление приёмом заказов</x:v>
      </x:c>
      <x:c r="E164" s="85" t="str">
        <x:v>Сотрудник переключает общий режим приёма заказов и задаёт понятную причину паузы.</x:v>
      </x:c>
      <x:c r="F164" s="85" t="str">
        <x:v>Панель показывает текущее состояние, actor и changedAt; подтверждение требуется для паузы; причина отображается customer в меню и корзине.</x:v>
      </x:c>
      <x:c r="G164" s="85" t="str">
        <x:v>E03-BO-16,E11-BO-01,E11-BE-04</x:v>
      </x:c>
      <x:c r="H164" s="85" t="str">
        <x:v>BR-013,FR-AVL-004,FR-AVL-005,FR-AVL-006</x:v>
      </x:c>
      <x:c r="I164" s="85" t="str">
        <x:v>state,ux,operations</x:v>
      </x:c>
      <x:c r="J164" s="200" t="str">
        <x:v>S</x:v>
      </x:c>
      <x:c r="K164" s="200" t="str">
        <x:v>Must</x:v>
      </x:c>
      <x:c r="L164" s="188" t="str">
        <x:v>Запланировано</x:v>
      </x:c>
    </x:row>
    <x:row r="165" ht="66" customHeight="1">
      <x:c r="A165" s="192" t="str">
        <x:v>E11-QA-01</x:v>
      </x:c>
      <x:c r="B165" s="193" t="str">
        <x:v>E11</x:v>
      </x:c>
      <x:c r="C165" s="193" t="str">
        <x:v>QA</x:v>
      </x:c>
      <x:c r="D165" s="85" t="str">
        <x:v>Покрыть доступность API интеграционными тестами</x:v>
      </x:c>
      <x:c r="E165" s="85" t="str">
        <x:v>Доступность согласованно влияет на публичное меню и создание заказа.</x:v>
      </x:c>
      <x:c r="F165" s="85" t="str">
        <x:v>Тесты охватывают роли, product, variant, modifier option, order intake, optimistic conflict, audit, ETag меню и повторную серверную проверку корзины.</x:v>
      </x:c>
      <x:c r="G165" s="85" t="str">
        <x:v>E11-BE-01–E11-BE-04</x:v>
      </x:c>
      <x:c r="H165" s="85" t="str">
        <x:v>FR-AVL-001–FR-AVL-008</x:v>
      </x:c>
      <x:c r="I165" s="85" t="str">
        <x:v>testing</x:v>
      </x:c>
      <x:c r="J165" s="200" t="str">
        <x:v>M</x:v>
      </x:c>
      <x:c r="K165" s="200" t="str">
        <x:v>Must</x:v>
      </x:c>
      <x:c r="L165" s="188" t="str">
        <x:v>Запланировано</x:v>
      </x:c>
    </x:row>
    <x:row r="166" ht="66" customHeight="1">
      <x:c r="A166" s="192" t="str">
        <x:v>E11-QA-02</x:v>
      </x:c>
      <x:c r="B166" s="193" t="str">
        <x:v>E11</x:v>
      </x:c>
      <x:c r="C166" s="193" t="str">
        <x:v>QA</x:v>
      </x:c>
      <x:c r="D166" s="85" t="str">
        <x:v>Покрыть оперативную доступность browser E2E</x:v>
      </x:c>
      <x:c r="E166" s="85" t="str">
        <x:v>Изменение back-office сразу отражается в front-office и checkout.</x:v>
      </x:c>
      <x:c r="F166" s="85" t="str">
        <x:v>Сценарий выключает товар, размер и добавку, проверяет меню и корзину, запускает паузу приёма, проверяет сообщение customer, возвращает доступность.</x:v>
      </x:c>
      <x:c r="G166" s="85" t="str">
        <x:v>E11-BO-01–E11-BO-04,E11-QA-01</x:v>
      </x:c>
      <x:c r="H166" s="85" t="str">
        <x:v>FR-AVL-001–FR-AVL-008</x:v>
      </x:c>
      <x:c r="I166" s="85" t="str">
        <x:v>testing</x:v>
      </x:c>
      <x:c r="J166" s="200" t="str">
        <x:v>L</x:v>
      </x:c>
      <x:c r="K166" s="200" t="str">
        <x:v>Must</x:v>
      </x:c>
      <x:c r="L166" s="188" t="str">
        <x:v>Запланировано</x:v>
      </x:c>
    </x:row>
    <x:row r="167" ht="66" customHeight="1">
      <x:c r="A167" s="192" t="str">
        <x:v>E12-BE-01</x:v>
      </x:c>
      <x:c r="B167" s="193" t="str">
        <x:v>E12</x:v>
      </x:c>
      <x:c r="C167" s="193" t="str">
        <x:v>Backend</x:v>
      </x:c>
      <x:c r="D167" s="85" t="str">
        <x:v>Провести оптимизацию запросов и индексов</x:v>
      </x:c>
      <x:c r="E167" s="85" t="str">
        <x:v>Backend укладывается в целевые показатели на рабочем наборе данных.</x:v>
      </x:c>
      <x:c r="F167" s="85" t="str">
        <x:v>EXPLAIN ANALYZE подтверждает использование индексов для menu, order queue, customer history и audit; количество N+1-запросов равно 0; результаты замеров сохранены в репозитории.</x:v>
      </x:c>
      <x:c r="G167" s="85" t="str">
        <x:v>E04–E11</x:v>
      </x:c>
      <x:c r="H167" s="85" t="str">
        <x:v>Q-PERF,Q-DB</x:v>
      </x:c>
      <x:c r="I167" s="85" t="str">
        <x:v>performance,operations</x:v>
      </x:c>
      <x:c r="J167" s="200" t="str">
        <x:v>M</x:v>
      </x:c>
      <x:c r="K167" s="200" t="str">
        <x:v>Must</x:v>
      </x:c>
      <x:c r="L167" s="188" t="str">
        <x:v>Запланировано</x:v>
      </x:c>
    </x:row>
    <x:row r="168" ht="66" customHeight="1">
      <x:c r="A168" s="192" t="str">
        <x:v>E12-BE-02</x:v>
      </x:c>
      <x:c r="B168" s="193" t="str">
        <x:v>E12</x:v>
      </x:c>
      <x:c r="C168" s="193" t="str">
        <x:v>Backend</x:v>
      </x:c>
      <x:c r="D168" s="85" t="str">
        <x:v>Провести аудит безопасности backend</x:v>
      </x:c>
      <x:c r="E168" s="85" t="str">
        <x:v>Критические поверхности доступа, OTP, сессий и персональных данных проверены и укреплены.</x:v>
      </x:c>
      <x:c r="F168" s="85" t="str">
        <x:v>Проверены OWASP-классы для API, rate limits, token rotation, role guards, ownership, input validation, log redaction и dependency audit; критические и высокие находки закрыты.</x:v>
      </x:c>
      <x:c r="G168" s="85" t="str">
        <x:v>E04–E11</x:v>
      </x:c>
      <x:c r="H168" s="85" t="str">
        <x:v>Q-SEC</x:v>
      </x:c>
      <x:c r="I168" s="85" t="str">
        <x:v>security,operations</x:v>
      </x:c>
      <x:c r="J168" s="200" t="str">
        <x:v>L</x:v>
      </x:c>
      <x:c r="K168" s="200" t="str">
        <x:v>Must</x:v>
      </x:c>
      <x:c r="L168" s="188" t="str">
        <x:v>Запланировано</x:v>
      </x:c>
    </x:row>
    <x:row r="169" ht="66" customHeight="1">
      <x:c r="A169" s="192" t="str">
        <x:v>E12-FO-01</x:v>
      </x:c>
      <x:c r="B169" s="193" t="str">
        <x:v>E12</x:v>
      </x:c>
      <x:c r="C169" s="193" t="str">
        <x:v>Front-office</x:v>
      </x:c>
      <x:c r="D169" s="85" t="str">
        <x:v>Оптимизировать загрузку front-office</x:v>
      </x:c>
      <x:c r="E169" s="85" t="str">
        <x:v>Клиентский интерфейс быстро открывает меню на мобильном соединении.</x:v>
      </x:c>
      <x:c r="F169" s="85" t="str">
        <x:v>Маршруты загружаются лениво; изображения имеют размеры и lazy loading; production bundle проверен; LCP p75 test dataset укладывается в 2.5 секунды при заданном профиле.</x:v>
      </x:c>
      <x:c r="G169" s="85" t="str">
        <x:v>E02,E04,E05,E07,E09,E10</x:v>
      </x:c>
      <x:c r="H169" s="85" t="str">
        <x:v>Q-PERF,Q-UX</x:v>
      </x:c>
      <x:c r="I169" s="85" t="str">
        <x:v>performance</x:v>
      </x:c>
      <x:c r="J169" s="200" t="str">
        <x:v>M</x:v>
      </x:c>
      <x:c r="K169" s="200" t="str">
        <x:v>Must</x:v>
      </x:c>
      <x:c r="L169" s="188" t="str">
        <x:v>Запланировано</x:v>
      </x:c>
    </x:row>
    <x:row r="170" ht="66" customHeight="1">
      <x:c r="A170" s="192" t="str">
        <x:v>E12-BO-01</x:v>
      </x:c>
      <x:c r="B170" s="193" t="str">
        <x:v>E12</x:v>
      </x:c>
      <x:c r="C170" s="193" t="str">
        <x:v>Back-office</x:v>
      </x:c>
      <x:c r="D170" s="85" t="str">
        <x:v>Оптимизировать очередь и административные формы</x:v>
      </x:c>
      <x:c r="E170" s="85" t="str">
        <x:v>Рабочее место сохраняет отзывчивость при целевой очереди и каталоге.</x:v>
      </x:c>
      <x:c r="F170" s="85" t="str">
        <x:v>Рендер очереди 100 активных заказов и каталога 500 товаров сохраняет отзывчивость; запросы отменяются при смене фильтра; формы защищают введённые данные при conflict.</x:v>
      </x:c>
      <x:c r="G170" s="85" t="str">
        <x:v>E03,E04,E06,E08,E09,E11</x:v>
      </x:c>
      <x:c r="H170" s="85" t="str">
        <x:v>Q-PERF,Q-UX</x:v>
      </x:c>
      <x:c r="I170" s="85" t="str">
        <x:v>performance,operations</x:v>
      </x:c>
      <x:c r="J170" s="200" t="str">
        <x:v>M</x:v>
      </x:c>
      <x:c r="K170" s="200" t="str">
        <x:v>Must</x:v>
      </x:c>
      <x:c r="L170" s="188" t="str">
        <x:v>Запланировано</x:v>
      </x:c>
    </x:row>
    <x:row r="171" ht="66" customHeight="1">
      <x:c r="A171" s="192" t="str">
        <x:v>E12-QA-01</x:v>
      </x:c>
      <x:c r="B171" s="193" t="str">
        <x:v>E12</x:v>
      </x:c>
      <x:c r="C171" s="193" t="str">
        <x:v>QA</x:v>
      </x:c>
      <x:c r="D171" s="85" t="str">
        <x:v>Выполнить полный API smoke на пустой базе</x:v>
      </x:c>
      <x:c r="E171" s="85" t="str">
        <x:v>Чистая среда проходит миграции, seed и базовый маршрут заказа.</x:v>
      </x:c>
      <x:c r="F171" s="85" t="str">
        <x:v>Smoke создаёт administrator, customer, каталог и заказ; проводит accepted, preparing, ready, paid, issued; проверяет историю и аудит; повторный запуск использует чистую БД.</x:v>
      </x:c>
      <x:c r="G171" s="85" t="str">
        <x:v>E04–E11</x:v>
      </x:c>
      <x:c r="H171" s="85" t="str">
        <x:v>Q-SMOKE</x:v>
      </x:c>
      <x:c r="I171" s="85" t="str">
        <x:v>testing,runbook</x:v>
      </x:c>
      <x:c r="J171" s="200" t="str">
        <x:v>L</x:v>
      </x:c>
      <x:c r="K171" s="200" t="str">
        <x:v>Must</x:v>
      </x:c>
      <x:c r="L171" s="188" t="str">
        <x:v>Запланировано</x:v>
      </x:c>
    </x:row>
    <x:row r="172" ht="66" customHeight="1">
      <x:c r="A172" s="192" t="str">
        <x:v>E12-QA-02</x:v>
      </x:c>
      <x:c r="B172" s="193" t="str">
        <x:v>E12</x:v>
      </x:c>
      <x:c r="C172" s="193" t="str">
        <x:v>QA</x:v>
      </x:c>
      <x:c r="D172" s="85" t="str">
        <x:v>Выполнить сквозной browser E2E трёх приложений</x:v>
      </x:c>
      <x:c r="E172" s="85" t="str">
        <x:v>Ключевой пользовательский маршрут подтверждён через реальные интерфейсы.</x:v>
      </x:c>
      <x:c r="F172" s="85" t="str">
        <x:v>Сценарий запускается в test: administrator создаёт меню; customer входит, собирает корзину и оформляет заказ; barista проводит приготовление, оплату и выдачу; customer видит историю.</x:v>
      </x:c>
      <x:c r="G172" s="85" t="str">
        <x:v>E12-QA-01</x:v>
      </x:c>
      <x:c r="H172" s="85" t="str">
        <x:v>Q-E2E</x:v>
      </x:c>
      <x:c r="I172" s="85" t="str">
        <x:v>testing,runbook</x:v>
      </x:c>
      <x:c r="J172" s="200" t="str">
        <x:v>L</x:v>
      </x:c>
      <x:c r="K172" s="200" t="str">
        <x:v>Must</x:v>
      </x:c>
      <x:c r="L172" s="188" t="str">
        <x:v>Запланировано</x:v>
      </x:c>
    </x:row>
    <x:row r="173" ht="66" customHeight="1">
      <x:c r="A173" s="192" t="str">
        <x:v>E12-QA-03</x:v>
      </x:c>
      <x:c r="B173" s="193" t="str">
        <x:v>E12</x:v>
      </x:c>
      <x:c r="C173" s="193" t="str">
        <x:v>QA</x:v>
      </x:c>
      <x:c r="D173" s="85" t="str">
        <x:v>Провести проверку доступности интерфейсов</x:v>
      </x:c>
      <x:c r="E173" s="85" t="str">
        <x:v>Основные маршруты front-office и back-office соответствуют WCAG 2.1 AA.</x:v>
      </x:c>
      <x:c r="F173" s="85" t="str">
        <x:v>Автоматические и ручные проверки охватывают клавиатуру, focus order, labels, contrast, announcements, dialogs и ошибки форм; блокирующие нарушения закрыты.</x:v>
      </x:c>
      <x:c r="G173" s="85" t="str">
        <x:v>E02,E03,E04–E11</x:v>
      </x:c>
      <x:c r="H173" s="85" t="str">
        <x:v>Q-A11Y</x:v>
      </x:c>
      <x:c r="I173" s="85" t="str">
        <x:v>testing,accessibility</x:v>
      </x:c>
      <x:c r="J173" s="200" t="str">
        <x:v>M</x:v>
      </x:c>
      <x:c r="K173" s="200" t="str">
        <x:v>Must</x:v>
      </x:c>
      <x:c r="L173" s="188" t="str">
        <x:v>Запланировано</x:v>
      </x:c>
    </x:row>
    <x:row r="174" ht="66" customHeight="1">
      <x:c r="A174" s="192" t="str">
        <x:v>E12-QA-04</x:v>
      </x:c>
      <x:c r="B174" s="193" t="str">
        <x:v>E12</x:v>
      </x:c>
      <x:c r="C174" s="193" t="str">
        <x:v>QA</x:v>
      </x:c>
      <x:c r="D174" s="85" t="str">
        <x:v>Провести нагрузочную проверку</x:v>
      </x:c>
      <x:c r="E174" s="85" t="str">
        <x:v>Backend выдерживает целевую рабочую нагрузку с запасом.</x:v>
      </x:c>
      <x:c r="F174" s="85" t="str">
        <x:v>Профиль содержит public menu, OTP limits, create order, order queue polling и customer history; p95 и error rate соответствуют ТЗ; отчёт и сценарий хранятся в backend.</x:v>
      </x:c>
      <x:c r="G174" s="85" t="str">
        <x:v>E12-BE-01</x:v>
      </x:c>
      <x:c r="H174" s="85" t="str">
        <x:v>Q-PERF,Q-LOAD</x:v>
      </x:c>
      <x:c r="I174" s="85" t="str">
        <x:v>testing,performance</x:v>
      </x:c>
      <x:c r="J174" s="200" t="str">
        <x:v>L</x:v>
      </x:c>
      <x:c r="K174" s="200" t="str">
        <x:v>Must</x:v>
      </x:c>
      <x:c r="L174" s="188" t="str">
        <x:v>Запланировано</x:v>
      </x:c>
    </x:row>
    <x:row r="175" ht="66" customHeight="1">
      <x:c r="A175" s="192" t="str">
        <x:v>E12-QA-05</x:v>
      </x:c>
      <x:c r="B175" s="193" t="str">
        <x:v>E12</x:v>
      </x:c>
      <x:c r="C175" s="193" t="str">
        <x:v>QA</x:v>
      </x:c>
      <x:c r="D175" s="85" t="str">
        <x:v>Провести регрессию ролей и персональных данных</x:v>
      </x:c>
      <x:c r="E175" s="85" t="str">
        <x:v>Матрица доступа и защита телефонов подтверждены отдельным набором тестов.</x:v>
      </x:c>
      <x:c r="F175" s="85" t="str">
        <x:v>Customer, barista и administrator проверены по каждому защищённому endpoint и маршруту; журналы, ошибки и browser storage проверены на маскирование телефона и токенов.</x:v>
      </x:c>
      <x:c r="G175" s="85" t="str">
        <x:v>E12-BE-02</x:v>
      </x:c>
      <x:c r="H175" s="85" t="str">
        <x:v>Q-SEC,Q-PRIVACY</x:v>
      </x:c>
      <x:c r="I175" s="85" t="str">
        <x:v>testing,security</x:v>
      </x:c>
      <x:c r="J175" s="200" t="str">
        <x:v>M</x:v>
      </x:c>
      <x:c r="K175" s="200" t="str">
        <x:v>Must</x:v>
      </x:c>
      <x:c r="L175" s="188" t="str">
        <x:v>Запланировано</x:v>
      </x:c>
    </x:row>
    <x:row r="176" ht="66" customHeight="1">
      <x:c r="A176" s="192" t="str">
        <x:v>E12-QA-06</x:v>
      </x:c>
      <x:c r="B176" s="193" t="str">
        <x:v>E12</x:v>
      </x:c>
      <x:c r="C176" s="193" t="str">
        <x:v>QA</x:v>
      </x:c>
      <x:c r="D176" s="85" t="str">
        <x:v>Провести приёмку MVP по техническому заданию</x:v>
      </x:c>
      <x:c r="E176" s="85" t="str">
        <x:v>Каждый критерий MVP имеет подтверждение выполнения.</x:v>
      </x:c>
      <x:c r="F176" s="85" t="str">
        <x:v>Матрица требований содержит ссылку на тест, демонстрацию или проверяемый артефакт; количество открытых Must-дефектов равно 0; Should-дефекты имеют решение владельца продукта.</x:v>
      </x:c>
      <x:c r="G176" s="85" t="str">
        <x:v>E12-QA-01–E12-QA-05</x:v>
      </x:c>
      <x:c r="H176" s="85" t="str">
        <x:v>BR-001–BR-015,FR-AUTH-001–FR-AVL-008</x:v>
      </x:c>
      <x:c r="I176" s="85" t="str">
        <x:v>acceptance</x:v>
      </x:c>
      <x:c r="J176" s="200" t="str">
        <x:v>L</x:v>
      </x:c>
      <x:c r="K176" s="200" t="str">
        <x:v>Must</x:v>
      </x:c>
      <x:c r="L176" s="188" t="str">
        <x:v>Запланировано</x:v>
      </x:c>
    </x:row>
    <x:row r="177" ht="66" customHeight="1">
      <x:c r="A177" s="192" t="str">
        <x:v>E12-DO-01</x:v>
      </x:c>
      <x:c r="B177" s="193" t="str">
        <x:v>E12</x:v>
      </x:c>
      <x:c r="C177" s="193" t="str">
        <x:v>DevOps</x:v>
      </x:c>
      <x:c r="D177" s="85" t="str">
        <x:v>Настроить ежедневные резервные копии PostgreSQL</x:v>
      </x:c>
      <x:c r="E177" s="85" t="str">
        <x:v>Production сохраняет шифрованные резервные копии по установленной политике.</x:v>
      </x:c>
      <x:c r="F177" s="85" t="str">
        <x:v>Backup выполняется ежедневно; retention задан конфигурацией; доступ ограничен; задача публикует metric и alert при сбое; runbook содержит проверку.</x:v>
      </x:c>
      <x:c r="G177" s="85" t="str">
        <x:v>E01-DO-09</x:v>
      </x:c>
      <x:c r="H177" s="85" t="str">
        <x:v>Q-BACKUP</x:v>
      </x:c>
      <x:c r="I177" s="85" t="str">
        <x:v>operations,runbook</x:v>
      </x:c>
      <x:c r="J177" s="200" t="str">
        <x:v>M</x:v>
      </x:c>
      <x:c r="K177" s="200" t="str">
        <x:v>Must</x:v>
      </x:c>
      <x:c r="L177" s="188" t="str">
        <x:v>Запланировано</x:v>
      </x:c>
    </x:row>
    <x:row r="178" ht="66" customHeight="1">
      <x:c r="A178" s="192" t="str">
        <x:v>E12-DO-02</x:v>
      </x:c>
      <x:c r="B178" s="193" t="str">
        <x:v>E12</x:v>
      </x:c>
      <x:c r="C178" s="193" t="str">
        <x:v>DevOps</x:v>
      </x:c>
      <x:c r="D178" s="85" t="str">
        <x:v>Провести проверку восстановления базы</x:v>
      </x:c>
      <x:c r="E178" s="85" t="str">
        <x:v>Команда подтверждает восстановление production-подобной копии в изолированную среду.</x:v>
      </x:c>
      <x:c r="F178" s="85" t="str">
        <x:v>Restore поднимает валидную БД; миграции и smoke проходят; зафиксированы RPO, RTO и дата проверки; результат приложен к релизному решению.</x:v>
      </x:c>
      <x:c r="G178" s="85" t="str">
        <x:v>E12-DO-01,E12-QA-01</x:v>
      </x:c>
      <x:c r="H178" s="85" t="str">
        <x:v>Q-RESTORE</x:v>
      </x:c>
      <x:c r="I178" s="85" t="str">
        <x:v>operations,runbook</x:v>
      </x:c>
      <x:c r="J178" s="200" t="str">
        <x:v>M</x:v>
      </x:c>
      <x:c r="K178" s="200" t="str">
        <x:v>Must</x:v>
      </x:c>
      <x:c r="L178" s="188" t="str">
        <x:v>Запланировано</x:v>
      </x:c>
    </x:row>
    <x:row r="179" ht="66" customHeight="1">
      <x:c r="A179" s="192" t="str">
        <x:v>E12-DO-03</x:v>
      </x:c>
      <x:c r="B179" s="193" t="str">
        <x:v>E12</x:v>
      </x:c>
      <x:c r="C179" s="193" t="str">
        <x:v>DevOps</x:v>
      </x:c>
      <x:c r="D179" s="85" t="str">
        <x:v>Настроить эксплуатационные метрики и оповещения</x:v>
      </x:c>
      <x:c r="E179" s="85" t="str">
        <x:v>Команда видит доступность сервисов и критические сбои заказа.</x:v>
      </x:c>
      <x:c r="F179" s="85" t="str">
        <x:v>Dashboards содержат uptime, latency, 5xx, OTP failures, order create failures, queue conflicts и backup status; alerts имеют владельца и runbook.</x:v>
      </x:c>
      <x:c r="G179" s="85" t="str">
        <x:v>E01-BE-05,E01-DO-08</x:v>
      </x:c>
      <x:c r="H179" s="85" t="str">
        <x:v>Q-OBS</x:v>
      </x:c>
      <x:c r="I179" s="85" t="str">
        <x:v>operations,runbook</x:v>
      </x:c>
      <x:c r="J179" s="200" t="str">
        <x:v>M</x:v>
      </x:c>
      <x:c r="K179" s="200" t="str">
        <x:v>Must</x:v>
      </x:c>
      <x:c r="L179" s="188" t="str">
        <x:v>Запланировано</x:v>
      </x:c>
    </x:row>
    <x:row r="180" ht="66" customHeight="1">
      <x:c r="A180" s="192" t="str">
        <x:v>E12-DO-04</x:v>
      </x:c>
      <x:c r="B180" s="193" t="str">
        <x:v>E12</x:v>
      </x:c>
      <x:c r="C180" s="193" t="str">
        <x:v>DevOps</x:v>
      </x:c>
      <x:c r="D180" s="85" t="str">
        <x:v>Провести репетицию миграции и отката</x:v>
      </x:c>
      <x:c r="E180" s="85" t="str">
        <x:v>Релизная процедура проверена на production-подобной среде.</x:v>
      </x:c>
      <x:c r="F180" s="85" t="str">
        <x:v>Deployment выполняет forward migration; smoke проходит; сценарий rollback возвращает совместимую версию; журнал репетиции приложен к релизу.</x:v>
      </x:c>
      <x:c r="G180" s="85" t="str">
        <x:v>E01-DO-09,E12-QA-01</x:v>
      </x:c>
      <x:c r="H180" s="85" t="str">
        <x:v>Q-RELEASE</x:v>
      </x:c>
      <x:c r="I180" s="85" t="str">
        <x:v>operations,runbook</x:v>
      </x:c>
      <x:c r="J180" s="200" t="str">
        <x:v>M</x:v>
      </x:c>
      <x:c r="K180" s="200" t="str">
        <x:v>Must</x:v>
      </x:c>
      <x:c r="L180" s="188" t="str">
        <x:v>Запланировано</x:v>
      </x:c>
    </x:row>
    <x:row r="181" ht="66" customHeight="1">
      <x:c r="A181" s="194" t="str">
        <x:v>E12-DO-05</x:v>
      </x:c>
      <x:c r="B181" s="195" t="str">
        <x:v>E12</x:v>
      </x:c>
      <x:c r="C181" s="195" t="str">
        <x:v>DevOps</x:v>
      </x:c>
      <x:c r="D181" s="116" t="str">
        <x:v>Собрать и выпустить production release candidate</x:v>
      </x:c>
      <x:c r="E181" s="116" t="str">
        <x:v>Три автономных репозитория поставляют совместимые версии в production.</x:v>
      </x:c>
      <x:c r="F181" s="116" t="str">
        <x:v>Зафиксированы git tags и API compatibility matrix; SB-FO, SB-BO, CI, smoke, E2E, security, accessibility, backup restore и acceptance имеют статус passed; release notes опубликованы.</x:v>
      </x:c>
      <x:c r="G181" s="116" t="str">
        <x:v>E12-BE-01,E12-BE-02,E12-FO-01,E12-BO-01,E12-QA-01–E12-QA-06,E12-DO-01–E12-DO-04</x:v>
      </x:c>
      <x:c r="H181" s="116" t="str">
        <x:v>Q-RELEASE</x:v>
      </x:c>
      <x:c r="I181" s="116" t="str">
        <x:v>release,operations</x:v>
      </x:c>
      <x:c r="J181" s="201" t="str">
        <x:v>L</x:v>
      </x:c>
      <x:c r="K181" s="201" t="str">
        <x:v>Must</x:v>
      </x:c>
      <x:c r="L181" s="189" t="str">
        <x:v>Запланировано</x:v>
      </x:c>
    </x:row>
  </x:sheetData>
  <x:conditionalFormatting sqref="L2:L181">
    <x:cfRule type="expression" dxfId="0" priority="1">
      <x:formula>$L2="Запланировано"</x:formula>
    </x:cfRule>
    <x:cfRule type="expression" dxfId="1" priority="2">
      <x:formula>$L2="В работе"</x:formula>
    </x:cfRule>
    <x:cfRule type="expression" dxfId="2" priority="3">
      <x:formula>$L2="Блокировано"</x:formula>
    </x:cfRule>
    <x:cfRule type="expression" dxfId="3" priority="4">
      <x:formula>$L2="Готово"</x:formula>
    </x:cfRule>
  </x:conditionalFormatting>
  <x:conditionalFormatting sqref="K2:K181">
    <x:cfRule type="expression" dxfId="4" priority="5">
      <x:formula>$K2="Must"</x:formula>
    </x:cfRule>
    <x:cfRule type="expression" dxfId="5" priority="6">
      <x:formula>$K2="Should"</x:formula>
    </x:cfRule>
    <x:cfRule type="expression" dxfId="6" priority="7">
      <x:formula>$K2="Could"</x:formula>
    </x:cfRule>
  </x:conditionalFormatting>
  <x:dataValidations count="4">
    <x:dataValidation type="list" sqref="C2:C181">
      <x:formula1>_Списки!$A$2:$A$6</x:formula1>
    </x:dataValidation>
    <x:dataValidation type="list" sqref="J2:J181">
      <x:formula1>_Списки!$B$2:$B$4</x:formula1>
    </x:dataValidation>
    <x:dataValidation type="list" sqref="K2:K181">
      <x:formula1>_Списки!$C$2:$C$4</x:formula1>
    </x:dataValidation>
    <x:dataValidation type="list" sqref="L2:L181">
      <x:formula1>_Списки!$D$2:$D$5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94188ac8124b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62" hidden="0" customWidth="1"/>
    <x:col min="5" max="5" width="32" hidden="0" customWidth="1"/>
    <x:col min="6" max="6" width="30" hidden="0" customWidth="1"/>
  </x:cols>
  <x:sheetData>
    <x:row r="1" ht="36" customHeight="1">
      <x:c r="A1" s="134" t="str">
        <x:v>Тип</x:v>
      </x:c>
      <x:c r="B1" s="186" t="str">
        <x:v>ID</x:v>
      </x:c>
      <x:c r="C1" s="186" t="str">
        <x:v>Наименование</x:v>
      </x:c>
      <x:c r="D1" s="186" t="str">
        <x:v>Критерий</x:v>
      </x:c>
      <x:c r="E1" s="186" t="str">
        <x:v>Проверка / артефакт</x:v>
      </x:c>
      <x:c r="F1" s="135" t="str">
        <x:v>Владелец</x:v>
      </x:c>
    </x:row>
    <x:row r="2" ht="70" customHeight="1">
      <x:c r="A2" s="113" t="str">
        <x:v>Барьер</x:v>
      </x:c>
      <x:c r="B2" s="85" t="str">
        <x:v>G0</x:v>
      </x:c>
      <x:c r="C2" s="85" t="str">
        <x:v>Готовность к разработке</x:v>
      </x:c>
      <x:c r="D2" s="85" t="str">
        <x:v>ТЗ версии 2.0 согласовано; 12 эпиков и 180 задач заполнены; зависимости, критерии, требования и документация указаны; трассировка покрывает 100% требований.</x:v>
      </x:c>
      <x:c r="E2" s="85" t="str">
        <x:v>ТЗ и файл бэклога</x:v>
      </x:c>
      <x:c r="F2" s="114" t="str">
        <x:v>Владелец продукта + технический руководитель</x:v>
      </x:c>
    </x:row>
    <x:row r="3" ht="70" customHeight="1">
      <x:c r="A3" s="113" t="str">
        <x:v>Барьер</x:v>
      </x:c>
      <x:c r="B3" s="85" t="str">
        <x:v>G1</x:v>
      </x:c>
      <x:c r="C3" s="85" t="str">
        <x:v>SB-FO</x:v>
      </x:c>
      <x:c r="D3" s="85" t="str">
        <x:v>Storybook front-office содержит каталог раздела 14, адаптивные состояния, interaction tests, проверку доступности, визуальную регрессию и опубликованный preview.</x:v>
      </x:c>
      <x:c r="E3" s="85" t="str">
        <x:v>Отчёт SB-FO и ссылка на preview</x:v>
      </x:c>
      <x:c r="F3" s="114" t="str">
        <x:v>Front-office + QA</x:v>
      </x:c>
    </x:row>
    <x:row r="4" ht="70" customHeight="1">
      <x:c r="A4" s="113" t="str">
        <x:v>Барьер</x:v>
      </x:c>
      <x:c r="B4" s="85" t="str">
        <x:v>G2</x:v>
      </x:c>
      <x:c r="C4" s="85" t="str">
        <x:v>SB-BO</x:v>
      </x:c>
      <x:c r="D4" s="85" t="str">
        <x:v>Storybook back-office содержит каталог раздела 15, рабочие плотности, ролевые состояния, interaction tests, проверку доступности, визуальную регрессию и опубликованный preview.</x:v>
      </x:c>
      <x:c r="E4" s="85" t="str">
        <x:v>Отчёт SB-BO и ссылка на preview</x:v>
      </x:c>
      <x:c r="F4" s="114" t="str">
        <x:v>Back-office + QA</x:v>
      </x:c>
    </x:row>
    <x:row r="5" ht="70" customHeight="1">
      <x:c r="A5" s="113" t="str">
        <x:v>Барьер</x:v>
      </x:c>
      <x:c r="B5" s="85" t="str">
        <x:v>G3</x:v>
      </x:c>
      <x:c r="C5" s="85" t="str">
        <x:v>API v1</x:v>
      </x:c>
      <x:c r="D5" s="85" t="str">
        <x:v>OpenAPI `/api/v1` опубликован; auth, catalog, orders, payment, history и availability имеют схемы, ошибки и примеры.</x:v>
      </x:c>
      <x:c r="E5" s="85" t="str">
        <x:v>OpenAPI artifact и contract checks</x:v>
      </x:c>
      <x:c r="F5" s="114" t="str">
        <x:v>Backend</x:v>
      </x:c>
    </x:row>
    <x:row r="6" ht="70" customHeight="1">
      <x:c r="A6" s="113" t="str">
        <x:v>Барьер</x:v>
      </x:c>
      <x:c r="B6" s="85" t="str">
        <x:v>G4</x:v>
      </x:c>
      <x:c r="C6" s="85" t="str">
        <x:v>Test E2E</x:v>
      </x:c>
      <x:c r="D6" s="85" t="str">
        <x:v>Общий test-стенд проходит API smoke и браузерный путь menu → order → preparation → payment → issue → history.</x:v>
      </x:c>
      <x:c r="E6" s="85" t="str">
        <x:v>CI отчёты трёх репозиториев</x:v>
      </x:c>
      <x:c r="F6" s="114" t="str">
        <x:v>QA + DevOps</x:v>
      </x:c>
    </x:row>
    <x:row r="7" ht="70" customHeight="1">
      <x:c r="A7" s="113" t="str">
        <x:v>Барьер</x:v>
      </x:c>
      <x:c r="B7" s="85" t="str">
        <x:v>G5</x:v>
      </x:c>
      <x:c r="C7" s="85" t="str">
        <x:v>Production release</x:v>
      </x:c>
      <x:c r="D7" s="85" t="str">
        <x:v>Резервная копия, восстановление, миграция, rollback, безопасность, доступность и приёмка имеют статус passed; совместимые теги трёх репозиториев зафиксированы.</x:v>
      </x:c>
      <x:c r="E7" s="85" t="str">
        <x:v>Release checklist и release notes</x:v>
      </x:c>
      <x:c r="F7" s="114" t="str">
        <x:v>Технический руководитель</x:v>
      </x:c>
    </x:row>
    <x:row r="8" ht="70" customHeight="1">
      <x:c r="A8" s="113" t="str">
        <x:v>DoR</x:v>
      </x:c>
      <x:c r="B8" s="85" t="str">
        <x:v>R1</x:v>
      </x:c>
      <x:c r="C8" s="85" t="str">
        <x:v>Связь</x:v>
      </x:c>
      <x:c r="D8" s="85" t="str">
        <x:v>Задача связана с эпиком и конкретными требованиями.</x:v>
      </x:c>
      <x:c r="E8" s="85" t="str">
        <x:v>Поля Эпик и Требования</x:v>
      </x:c>
      <x:c r="F8" s="114" t="str">
        <x:v>Автор задачи</x:v>
      </x:c>
    </x:row>
    <x:row r="9" ht="70" customHeight="1">
      <x:c r="A9" s="113" t="str">
        <x:v>DoR</x:v>
      </x:c>
      <x:c r="B9" s="85" t="str">
        <x:v>R2</x:v>
      </x:c>
      <x:c r="C9" s="85" t="str">
        <x:v>Результат</x:v>
      </x:c>
      <x:c r="D9" s="85" t="str">
        <x:v>Задача содержит один проверяемый основной результат.</x:v>
      </x:c>
      <x:c r="E9" s="85" t="str">
        <x:v>Поле Результат</x:v>
      </x:c>
      <x:c r="F9" s="114" t="str">
        <x:v>Автор задачи</x:v>
      </x:c>
    </x:row>
    <x:row r="10" ht="70" customHeight="1">
      <x:c r="A10" s="113" t="str">
        <x:v>DoR</x:v>
      </x:c>
      <x:c r="B10" s="85" t="str">
        <x:v>R3</x:v>
      </x:c>
      <x:c r="C10" s="85" t="str">
        <x:v>Контур</x:v>
      </x:c>
      <x:c r="D10" s="85" t="str">
        <x:v>Задача принадлежит одному контуру: Backend, Front-office, Back-office, DevOps либо QA.</x:v>
      </x:c>
      <x:c r="E10" s="85" t="str">
        <x:v>Поле Контур</x:v>
      </x:c>
      <x:c r="F10" s="114" t="str">
        <x:v>Автор задачи</x:v>
      </x:c>
    </x:row>
    <x:row r="11" ht="70" customHeight="1">
      <x:c r="A11" s="113" t="str">
        <x:v>DoR</x:v>
      </x:c>
      <x:c r="B11" s="85" t="str">
        <x:v>R4</x:v>
      </x:c>
      <x:c r="C11" s="85" t="str">
        <x:v>Критерии</x:v>
      </x:c>
      <x:c r="D11" s="85" t="str">
        <x:v>Критерии приёмки описывают наблюдаемое поведение и граничные случаи.</x:v>
      </x:c>
      <x:c r="E11" s="85" t="str">
        <x:v>Поле Критерии приёмки</x:v>
      </x:c>
      <x:c r="F11" s="114" t="str">
        <x:v>Автор задачи</x:v>
      </x:c>
    </x:row>
    <x:row r="12" ht="70" customHeight="1">
      <x:c r="A12" s="113" t="str">
        <x:v>DoR</x:v>
      </x:c>
      <x:c r="B12" s="85" t="str">
        <x:v>R5</x:v>
      </x:c>
      <x:c r="C12" s="85" t="str">
        <x:v>Зависимости</x:v>
      </x:c>
      <x:c r="D12" s="85" t="str">
        <x:v>Предшествующие задачи и барьеры перечислены.</x:v>
      </x:c>
      <x:c r="E12" s="85" t="str">
        <x:v>Поле Зависимости</x:v>
      </x:c>
      <x:c r="F12" s="114" t="str">
        <x:v>Автор задачи</x:v>
      </x:c>
    </x:row>
    <x:row r="13" ht="70" customHeight="1">
      <x:c r="A13" s="113" t="str">
        <x:v>DoR</x:v>
      </x:c>
      <x:c r="B13" s="85" t="str">
        <x:v>R6</x:v>
      </x:c>
      <x:c r="C13" s="85" t="str">
        <x:v>Контракт интерфейса</x:v>
      </x:c>
      <x:c r="D13" s="85" t="str">
        <x:v>Backend-задача содержит API/доменный контракт; интерфейсная задача содержит ссылку на готовую Storybook-композицию.</x:v>
      </x:c>
      <x:c r="E13" s="85" t="str">
        <x:v>OpenAPI либо Storybook</x:v>
      </x:c>
      <x:c r="F13" s="114" t="str">
        <x:v>Автор задачи</x:v>
      </x:c>
    </x:row>
    <x:row r="14" ht="70" customHeight="1">
      <x:c r="A14" s="113" t="str">
        <x:v>DoR</x:v>
      </x:c>
      <x:c r="B14" s="85" t="str">
        <x:v>R7</x:v>
      </x:c>
      <x:c r="C14" s="85" t="str">
        <x:v>Тесты</x:v>
      </x:c>
      <x:c r="D14" s="85" t="str">
        <x:v>Критерии включают требуемые автоматические и ручные проверки.</x:v>
      </x:c>
      <x:c r="E14" s="85" t="str">
        <x:v>Критерии и testing docs</x:v>
      </x:c>
      <x:c r="F14" s="114" t="str">
        <x:v>Автор задачи</x:v>
      </x:c>
    </x:row>
    <x:row r="15" ht="70" customHeight="1">
      <x:c r="A15" s="113" t="str">
        <x:v>DoR</x:v>
      </x:c>
      <x:c r="B15" s="85" t="str">
        <x:v>R8</x:v>
      </x:c>
      <x:c r="C15" s="85" t="str">
        <x:v>Документация</x:v>
      </x:c>
      <x:c r="D15" s="85" t="str">
        <x:v>Задача перечисляет разделы документации, которые актуализирует реализация.</x:v>
      </x:c>
      <x:c r="E15" s="85" t="str">
        <x:v>Поле Документация в DoD</x:v>
      </x:c>
      <x:c r="F15" s="114" t="str">
        <x:v>Автор задачи</x:v>
      </x:c>
    </x:row>
    <x:row r="16" ht="70" customHeight="1">
      <x:c r="A16" s="113" t="str">
        <x:v>DoR</x:v>
      </x:c>
      <x:c r="B16" s="85" t="str">
        <x:v>R9</x:v>
      </x:c>
      <x:c r="C16" s="85" t="str">
        <x:v>Размер</x:v>
      </x:c>
      <x:c r="D16" s="85" t="str">
        <x:v>Задача помещается в один pull request либо образует явно указанную последовательность.</x:v>
      </x:c>
      <x:c r="E16" s="85" t="str">
        <x:v>Поле Размер</x:v>
      </x:c>
      <x:c r="F16" s="114" t="str">
        <x:v>Технический руководитель</x:v>
      </x:c>
    </x:row>
    <x:row r="17" ht="70" customHeight="1">
      <x:c r="A17" s="113" t="str">
        <x:v>DoD</x:v>
      </x:c>
      <x:c r="B17" s="85" t="str">
        <x:v>D1</x:v>
      </x:c>
      <x:c r="C17" s="85" t="str">
        <x:v>Review</x:v>
      </x:c>
      <x:c r="D17" s="85" t="str">
        <x:v>Изменение прошло review в своём репозитории.</x:v>
      </x:c>
      <x:c r="E17" s="85" t="str">
        <x:v>Pull request approvals</x:v>
      </x:c>
      <x:c r="F17" s="114" t="str">
        <x:v>Контур задачи</x:v>
      </x:c>
    </x:row>
    <x:row r="18" ht="70" customHeight="1">
      <x:c r="A18" s="113" t="str">
        <x:v>DoD</x:v>
      </x:c>
      <x:c r="B18" s="85" t="str">
        <x:v>D2</x:v>
      </x:c>
      <x:c r="C18" s="85" t="str">
        <x:v>CI</x:v>
      </x:c>
      <x:c r="D18" s="85" t="str">
        <x:v>Lint, typecheck, тесты, сборка и профильные проверки имеют статус passed.</x:v>
      </x:c>
      <x:c r="E18" s="85" t="str">
        <x:v>CI pipeline</x:v>
      </x:c>
      <x:c r="F18" s="114" t="str">
        <x:v>Контур задачи</x:v>
      </x:c>
    </x:row>
    <x:row r="19" ht="70" customHeight="1">
      <x:c r="A19" s="113" t="str">
        <x:v>DoD</x:v>
      </x:c>
      <x:c r="B19" s="85" t="str">
        <x:v>D3</x:v>
      </x:c>
      <x:c r="C19" s="85" t="str">
        <x:v>Тесты домена</x:v>
      </x:c>
      <x:c r="D19" s="85" t="str">
        <x:v>Доменное правило подтверждено автоматическими тестами на подходящем уровне.</x:v>
      </x:c>
      <x:c r="E19" s="85" t="str">
        <x:v>Test report</x:v>
      </x:c>
      <x:c r="F19" s="114" t="str">
        <x:v>Контур задачи + QA</x:v>
      </x:c>
    </x:row>
    <x:row r="20" ht="70" customHeight="1">
      <x:c r="A20" s="113" t="str">
        <x:v>DoD</x:v>
      </x:c>
      <x:c r="B20" s="85" t="str">
        <x:v>D4</x:v>
      </x:c>
      <x:c r="C20" s="85" t="str">
        <x:v>UI stories</x:v>
      </x:c>
      <x:c r="D20" s="85" t="str">
        <x:v>Новый или изменённый UI отражён актуальными stories и состояниями.</x:v>
      </x:c>
      <x:c r="E20" s="85" t="str">
        <x:v>Storybook diff</x:v>
      </x:c>
      <x:c r="F20" s="114" t="str">
        <x:v>Front-office либо Back-office</x:v>
      </x:c>
    </x:row>
    <x:row r="21" ht="70" customHeight="1">
      <x:c r="A21" s="113" t="str">
        <x:v>DoD</x:v>
      </x:c>
      <x:c r="B21" s="85" t="str">
        <x:v>D5</x:v>
      </x:c>
      <x:c r="C21" s="85" t="str">
        <x:v>Контракты</x:v>
      </x:c>
      <x:c r="D21" s="85" t="str">
        <x:v>OpenAPI, локальные API-модели и миграции соответствуют выпущенному коду.</x:v>
      </x:c>
      <x:c r="E21" s="85" t="str">
        <x:v>Contract check и migration check</x:v>
      </x:c>
      <x:c r="F21" s="114" t="str">
        <x:v>Backend + клиентский контур</x:v>
      </x:c>
    </x:row>
    <x:row r="22" ht="70" customHeight="1">
      <x:c r="A22" s="113" t="str">
        <x:v>DoD</x:v>
      </x:c>
      <x:c r="B22" s="85" t="str">
        <x:v>D6</x:v>
      </x:c>
      <x:c r="C22" s="85" t="str">
        <x:v>Документация</x:v>
      </x:c>
      <x:c r="D22" s="85" t="str">
        <x:v>Документация репозитория обновлена в том же pull request.</x:v>
      </x:c>
      <x:c r="E22" s="85" t="str">
        <x:v>Documentation diff</x:v>
      </x:c>
      <x:c r="F22" s="114" t="str">
        <x:v>Контур задачи</x:v>
      </x:c>
    </x:row>
    <x:row r="23" ht="70" customHeight="1">
      <x:c r="A23" s="113" t="str">
        <x:v>DoD</x:v>
      </x:c>
      <x:c r="B23" s="85" t="str">
        <x:v>D7</x:v>
      </x:c>
      <x:c r="C23" s="85" t="str">
        <x:v>Диагностика</x:v>
      </x:c>
      <x:c r="D23" s="85" t="str">
        <x:v>Ошибки содержат requestId; журналы и метрики отражают новую критическую операцию.</x:v>
      </x:c>
      <x:c r="E23" s="85" t="str">
        <x:v>Логи test-среды</x:v>
      </x:c>
      <x:c r="F23" s="114" t="str">
        <x:v>Backend + DevOps</x:v>
      </x:c>
    </x:row>
    <x:row r="24" ht="70" customHeight="1">
      <x:c r="A24" s="113" t="str">
        <x:v>DoD</x:v>
      </x:c>
      <x:c r="B24" s="85" t="str">
        <x:v>D8</x:v>
      </x:c>
      <x:c r="C24" s="85" t="str">
        <x:v>Test-среда</x:v>
      </x:c>
      <x:c r="D24" s="85" t="str">
        <x:v>Функциональность подтверждена на общем test-стенде.</x:v>
      </x:c>
      <x:c r="E24" s="85" t="str">
        <x:v>Deployment и smoke</x:v>
      </x:c>
      <x:c r="F24" s="114" t="str">
        <x:v>Контур задачи + QA</x:v>
      </x:c>
    </x:row>
    <x:row r="25" ht="70" customHeight="1">
      <x:c r="A25" s="113" t="str">
        <x:v>DoD</x:v>
      </x:c>
      <x:c r="B25" s="85" t="str">
        <x:v>D9</x:v>
      </x:c>
      <x:c r="C25" s="85" t="str">
        <x:v>Приёмка задачи</x:v>
      </x:c>
      <x:c r="D25" s="85" t="str">
        <x:v>Все критерии приёмки задачи выполнены.</x:v>
      </x:c>
      <x:c r="E25" s="85" t="str">
        <x:v>Checklist задачи</x:v>
      </x:c>
      <x:c r="F25" s="114" t="str">
        <x:v>Автор задачи</x:v>
      </x:c>
    </x:row>
    <x:row r="26" ht="70" customHeight="1">
      <x:c r="A26" s="115" t="str">
        <x:v>DoD</x:v>
      </x:c>
      <x:c r="B26" s="116" t="str">
        <x:v>D10</x:v>
      </x:c>
      <x:c r="C26" s="116" t="str">
        <x:v>Регрессия</x:v>
      </x:c>
      <x:c r="D26" s="116" t="str">
        <x:v>Исправленный дефект содержит регрессионный тест.</x:v>
      </x:c>
      <x:c r="E26" s="116" t="str">
        <x:v>Test diff</x:v>
      </x:c>
      <x:c r="F26" s="117" t="str">
        <x:v>Контур задачи + QA</x:v>
      </x:c>
    </x:row>
  </x:sheetData>
  <x:conditionalFormatting sqref="A2:F26">
    <x:cfRule type="expression" dxfId="9" priority="1">
      <x:formula>$A2="Барьер"</x:formula>
    </x:cfRule>
    <x:cfRule type="expression" dxfId="10" priority="2">
      <x:formula>$A2="DoR"</x:formula>
    </x:cfRule>
    <x:cfRule type="expression" dxfId="11" priority="3">
      <x:formula>$A2="DoD"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2f96698a7d49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68" hidden="0" customWidth="1"/>
    <x:col min="4" max="4" width="20" hidden="0" customWidth="1"/>
    <x:col min="5" max="5" width="14" hidden="0" customWidth="1"/>
    <x:col min="6" max="6" width="55" hidden="0" customWidth="1"/>
    <x:col min="7" max="7" width="14" hidden="0" customWidth="1"/>
  </x:cols>
  <x:sheetData>
    <x:row r="1" ht="36" customHeight="1">
      <x:c r="A1" s="134" t="str">
        <x:v>ID требования</x:v>
      </x:c>
      <x:c r="B1" s="186" t="str">
        <x:v>Тип</x:v>
      </x:c>
      <x:c r="C1" s="186" t="str">
        <x:v>Требование</x:v>
      </x:c>
      <x:c r="D1" s="186" t="str">
        <x:v>Эпики</x:v>
      </x:c>
      <x:c r="E1" s="186" t="str">
        <x:v>Количество задач</x:v>
      </x:c>
      <x:c r="F1" s="186" t="str">
        <x:v>Задачи</x:v>
      </x:c>
      <x:c r="G1" s="135" t="str">
        <x:v>Покрытие</x:v>
      </x:c>
    </x:row>
    <x:row r="2" ht="52" customHeight="1">
      <x:c r="A2" s="113" t="str">
        <x:v>TR-REP-001</x:v>
      </x:c>
      <x:c r="B2" s="85" t="str">
        <x:v>Техническое</x:v>
      </x:c>
      <x:c r="C2" s="85" t="str">
        <x:v>Репозиторий `backend` использует NestJS, TypeScript, npm, собственную документацию, тесты и pipeline.</x:v>
      </x:c>
      <x:c r="D2" s="85" t="str">
        <x:v>E01</x:v>
      </x:c>
      <x:c r="E2" s="200" t="n">
        <x:f>IF(F2="",0,LEN(F2)-LEN(SUBSTITUTE(F2,",",""))+1)</x:f>
        <x:v>2</x:v>
      </x:c>
      <x:c r="F2" s="85" t="str">
        <x:v>E01-BE-01, E01-QA-01</x:v>
      </x:c>
      <x:c r="G2" s="188" t="str">
        <x:f>IF(E2&gt;0,"Покрыто","Пробел")</x:f>
        <x:v>Покрыто</x:v>
      </x:c>
    </x:row>
    <x:row r="3" ht="52" customHeight="1">
      <x:c r="A3" s="113" t="str">
        <x:v>TR-REP-002</x:v>
      </x:c>
      <x:c r="B3" s="85" t="str">
        <x:v>Техническое</x:v>
      </x:c>
      <x:c r="C3" s="85" t="str">
        <x:v>Репозиторий `front-office` использует Vue 3, Vuetify, TypeScript, Vite, npm, собственную документацию, тесты и pipeline.</x:v>
      </x:c>
      <x:c r="D3" s="85" t="str">
        <x:v>E01</x:v>
      </x:c>
      <x:c r="E3" s="200" t="n">
        <x:f>IF(F3="",0,LEN(F3)-LEN(SUBSTITUTE(F3,",",""))+1)</x:f>
        <x:v>2</x:v>
      </x:c>
      <x:c r="F3" s="85" t="str">
        <x:v>E01-FO-01, E01-QA-01</x:v>
      </x:c>
      <x:c r="G3" s="188" t="str">
        <x:f>IF(E3&gt;0,"Покрыто","Пробел")</x:f>
        <x:v>Покрыто</x:v>
      </x:c>
    </x:row>
    <x:row r="4" ht="52" customHeight="1">
      <x:c r="A4" s="113" t="str">
        <x:v>TR-REP-003</x:v>
      </x:c>
      <x:c r="B4" s="85" t="str">
        <x:v>Техническое</x:v>
      </x:c>
      <x:c r="C4" s="85" t="str">
        <x:v>Репозиторий `back-office` использует Vue 3, Vuetify, TypeScript, Vite, npm, собственную документацию, тесты и pipeline.</x:v>
      </x:c>
      <x:c r="D4" s="85" t="str">
        <x:v>E01</x:v>
      </x:c>
      <x:c r="E4" s="200" t="n">
        <x:f>IF(F4="",0,LEN(F4)-LEN(SUBSTITUTE(F4,",",""))+1)</x:f>
        <x:v>2</x:v>
      </x:c>
      <x:c r="F4" s="85" t="str">
        <x:v>E01-BO-01, E01-QA-01</x:v>
      </x:c>
      <x:c r="G4" s="188" t="str">
        <x:f>IF(E4&gt;0,"Покрыто","Пробел")</x:f>
        <x:v>Покрыто</x:v>
      </x:c>
    </x:row>
    <x:row r="5" ht="52" customHeight="1">
      <x:c r="A5" s="113" t="str">
        <x:v>TR-API-001</x:v>
      </x:c>
      <x:c r="B5" s="85" t="str">
        <x:v>Техническое</x:v>
      </x:c>
      <x:c r="C5" s="85" t="str">
        <x:v>Backend публикует версионированный HTTP API `/api/v1` и актуальный OpenAPI-контракт.</x:v>
      </x:c>
      <x:c r="D5" s="85" t="str">
        <x:v>E01</x:v>
      </x:c>
      <x:c r="E5" s="200" t="n">
        <x:f>IF(F5="",0,LEN(F5)-LEN(SUBSTITUTE(F5,",",""))+1)</x:f>
        <x:v>1</x:v>
      </x:c>
      <x:c r="F5" s="85" t="str">
        <x:v>E01-BE-04</x:v>
      </x:c>
      <x:c r="G5" s="188" t="str">
        <x:f>IF(E5&gt;0,"Покрыто","Пробел")</x:f>
        <x:v>Покрыто</x:v>
      </x:c>
    </x:row>
    <x:row r="6" ht="52" customHeight="1">
      <x:c r="A6" s="113" t="str">
        <x:v>TR-DATA-001</x:v>
      </x:c>
      <x:c r="B6" s="85" t="str">
        <x:v>Техническое</x:v>
      </x:c>
      <x:c r="C6" s="85" t="str">
        <x:v>Backend использует PostgreSQL и последовательные миграции схемы.</x:v>
      </x:c>
      <x:c r="D6" s="85" t="str">
        <x:v>E01</x:v>
      </x:c>
      <x:c r="E6" s="200" t="n">
        <x:f>IF(F6="",0,LEN(F6)-LEN(SUBSTITUTE(F6,",",""))+1)</x:f>
        <x:v>1</x:v>
      </x:c>
      <x:c r="F6" s="85" t="str">
        <x:v>E01-BE-03</x:v>
      </x:c>
      <x:c r="G6" s="188" t="str">
        <x:f>IF(E6&gt;0,"Покрыто","Пробел")</x:f>
        <x:v>Покрыто</x:v>
      </x:c>
    </x:row>
    <x:row r="7" ht="52" customHeight="1">
      <x:c r="A7" s="113" t="str">
        <x:v>TR-FO-001</x:v>
      </x:c>
      <x:c r="B7" s="85" t="str">
        <x:v>Техническое</x:v>
      </x:c>
      <x:c r="C7" s="85" t="str">
        <x:v>Front-office содержит локальные маршруты, stores, API-клиент, компоненты, конфигурацию и обработку ошибок.</x:v>
      </x:c>
      <x:c r="D7" s="85" t="str">
        <x:v>E01</x:v>
      </x:c>
      <x:c r="E7" s="200" t="n">
        <x:f>IF(F7="",0,LEN(F7)-LEN(SUBSTITUTE(F7,",",""))+1)</x:f>
        <x:v>1</x:v>
      </x:c>
      <x:c r="F7" s="85" t="str">
        <x:v>E01-FO-02</x:v>
      </x:c>
      <x:c r="G7" s="188" t="str">
        <x:f>IF(E7&gt;0,"Покрыто","Пробел")</x:f>
        <x:v>Покрыто</x:v>
      </x:c>
    </x:row>
    <x:row r="8" ht="52" customHeight="1">
      <x:c r="A8" s="113" t="str">
        <x:v>TR-BO-001</x:v>
      </x:c>
      <x:c r="B8" s="85" t="str">
        <x:v>Техническое</x:v>
      </x:c>
      <x:c r="C8" s="85" t="str">
        <x:v>Back-office содержит локальные маршруты, stores, API-клиент, компоненты, ролевую навигацию и обработку ошибок.</x:v>
      </x:c>
      <x:c r="D8" s="85" t="str">
        <x:v>E01</x:v>
      </x:c>
      <x:c r="E8" s="200" t="n">
        <x:f>IF(F8="",0,LEN(F8)-LEN(SUBSTITUTE(F8,",",""))+1)</x:f>
        <x:v>1</x:v>
      </x:c>
      <x:c r="F8" s="85" t="str">
        <x:v>E01-BO-02</x:v>
      </x:c>
      <x:c r="G8" s="188" t="str">
        <x:f>IF(E8&gt;0,"Покрыто","Пробел")</x:f>
        <x:v>Покрыто</x:v>
      </x:c>
    </x:row>
    <x:row r="9" ht="52" customHeight="1">
      <x:c r="A9" s="113" t="str">
        <x:v>TR-SB-FO-001</x:v>
      </x:c>
      <x:c r="B9" s="85" t="str">
        <x:v>Техническое</x:v>
      </x:c>
      <x:c r="C9" s="85" t="str">
        <x:v>Front-office содержит отдельный Storybook с production-подобной темой и сборкой.</x:v>
      </x:c>
      <x:c r="D9" s="85" t="str">
        <x:v>E02</x:v>
      </x:c>
      <x:c r="E9" s="200" t="n">
        <x:f>IF(F9="",0,LEN(F9)-LEN(SUBSTITUTE(F9,",",""))+1)</x:f>
        <x:v>1</x:v>
      </x:c>
      <x:c r="F9" s="85" t="str">
        <x:v>E02-FO-01</x:v>
      </x:c>
      <x:c r="G9" s="188" t="str">
        <x:f>IF(E9&gt;0,"Покрыто","Пробел")</x:f>
        <x:v>Покрыто</x:v>
      </x:c>
    </x:row>
    <x:row r="10" ht="52" customHeight="1">
      <x:c r="A10" s="113" t="str">
        <x:v>TR-SB-FO-002</x:v>
      </x:c>
      <x:c r="B10" s="85" t="str">
        <x:v>Техническое</x:v>
      </x:c>
      <x:c r="C10" s="85" t="str">
        <x:v>Storybook front-office фиксирует типографику, сетку, интервалы, иконографику, адаптивные размеры и токены Vuetify.</x:v>
      </x:c>
      <x:c r="D10" s="85" t="str">
        <x:v>E02</x:v>
      </x:c>
      <x:c r="E10" s="200" t="n">
        <x:f>IF(F10="",0,LEN(F10)-LEN(SUBSTITUTE(F10,",",""))+1)</x:f>
        <x:v>1</x:v>
      </x:c>
      <x:c r="F10" s="85" t="str">
        <x:v>E02-FO-02</x:v>
      </x:c>
      <x:c r="G10" s="188" t="str">
        <x:f>IF(E10&gt;0,"Покрыто","Пробел")</x:f>
        <x:v>Покрыто</x:v>
      </x:c>
    </x:row>
    <x:row r="11" ht="52" customHeight="1">
      <x:c r="A11" s="113" t="str">
        <x:v>TR-SB-FO-003</x:v>
      </x:c>
      <x:c r="B11" s="85" t="str">
        <x:v>Техническое</x:v>
      </x:c>
      <x:c r="C11" s="85" t="str">
        <x:v>Storybook front-office содержит базовые элементы управления и все состояния, перечисленные в разделе 14.</x:v>
      </x:c>
      <x:c r="D11" s="85" t="str">
        <x:v>E02</x:v>
      </x:c>
      <x:c r="E11" s="200" t="n">
        <x:f>IF(F11="",0,LEN(F11)-LEN(SUBSTITUTE(F11,",",""))+1)</x:f>
        <x:v>1</x:v>
      </x:c>
      <x:c r="F11" s="85" t="str">
        <x:v>E02-FO-03</x:v>
      </x:c>
      <x:c r="G11" s="188" t="str">
        <x:f>IF(E11&gt;0,"Покрыто","Пробел")</x:f>
        <x:v>Покрыто</x:v>
      </x:c>
    </x:row>
    <x:row r="12" ht="52" customHeight="1">
      <x:c r="A12" s="113" t="str">
        <x:v>TR-SB-FO-GATE</x:v>
      </x:c>
      <x:c r="B12" s="85" t="str">
        <x:v>Техническое</x:v>
      </x:c>
      <x:c r="C12" s="85" t="str">
        <x:v>Барьер SB-FO подтверждает полноту каталога, interaction tests, доступность, визуальную регрессию и согласованную публикацию.</x:v>
      </x:c>
      <x:c r="D12" s="85" t="str">
        <x:v>E02</x:v>
      </x:c>
      <x:c r="E12" s="200" t="n">
        <x:f>IF(F12="",0,LEN(F12)-LEN(SUBSTITUTE(F12,",",""))+1)</x:f>
        <x:v>2</x:v>
      </x:c>
      <x:c r="F12" s="85" t="str">
        <x:v>E02-QA-01, E02-QA-02</x:v>
      </x:c>
      <x:c r="G12" s="188" t="str">
        <x:f>IF(E12&gt;0,"Покрыто","Пробел")</x:f>
        <x:v>Покрыто</x:v>
      </x:c>
    </x:row>
    <x:row r="13" ht="52" customHeight="1">
      <x:c r="A13" s="113" t="str">
        <x:v>TR-SB-BO-001</x:v>
      </x:c>
      <x:c r="B13" s="85" t="str">
        <x:v>Техническое</x:v>
      </x:c>
      <x:c r="C13" s="85" t="str">
        <x:v>Back-office содержит отдельный Storybook с production-подобной темой и сборкой.</x:v>
      </x:c>
      <x:c r="D13" s="85" t="str">
        <x:v>E03</x:v>
      </x:c>
      <x:c r="E13" s="200" t="n">
        <x:f>IF(F13="",0,LEN(F13)-LEN(SUBSTITUTE(F13,",",""))+1)</x:f>
        <x:v>1</x:v>
      </x:c>
      <x:c r="F13" s="85" t="str">
        <x:v>E03-BO-01</x:v>
      </x:c>
      <x:c r="G13" s="188" t="str">
        <x:f>IF(E13&gt;0,"Покрыто","Пробел")</x:f>
        <x:v>Покрыто</x:v>
      </x:c>
    </x:row>
    <x:row r="14" ht="52" customHeight="1">
      <x:c r="A14" s="113" t="str">
        <x:v>TR-SB-BO-002</x:v>
      </x:c>
      <x:c r="B14" s="85" t="str">
        <x:v>Техническое</x:v>
      </x:c>
      <x:c r="C14" s="85" t="str">
        <x:v>Storybook back-office фиксирует рабочую типографику, сетку, плотность, статусы, адаптивные размеры и токены Vuetify.</x:v>
      </x:c>
      <x:c r="D14" s="85" t="str">
        <x:v>E03</x:v>
      </x:c>
      <x:c r="E14" s="200" t="n">
        <x:f>IF(F14="",0,LEN(F14)-LEN(SUBSTITUTE(F14,",",""))+1)</x:f>
        <x:v>1</x:v>
      </x:c>
      <x:c r="F14" s="85" t="str">
        <x:v>E03-BO-02</x:v>
      </x:c>
      <x:c r="G14" s="188" t="str">
        <x:f>IF(E14&gt;0,"Покрыто","Пробел")</x:f>
        <x:v>Покрыто</x:v>
      </x:c>
    </x:row>
    <x:row r="15" ht="52" customHeight="1">
      <x:c r="A15" s="113" t="str">
        <x:v>TR-SB-BO-003</x:v>
      </x:c>
      <x:c r="B15" s="85" t="str">
        <x:v>Техническое</x:v>
      </x:c>
      <x:c r="C15" s="85" t="str">
        <x:v>Storybook back-office содержит базовые элементы управления и все состояния, перечисленные в разделе 15.</x:v>
      </x:c>
      <x:c r="D15" s="85" t="str">
        <x:v>E03</x:v>
      </x:c>
      <x:c r="E15" s="200" t="n">
        <x:f>IF(F15="",0,LEN(F15)-LEN(SUBSTITUTE(F15,",",""))+1)</x:f>
        <x:v>1</x:v>
      </x:c>
      <x:c r="F15" s="85" t="str">
        <x:v>E03-BO-03</x:v>
      </x:c>
      <x:c r="G15" s="188" t="str">
        <x:f>IF(E15&gt;0,"Покрыто","Пробел")</x:f>
        <x:v>Покрыто</x:v>
      </x:c>
    </x:row>
    <x:row r="16" ht="52" customHeight="1">
      <x:c r="A16" s="113" t="str">
        <x:v>TR-SB-BO-GATE</x:v>
      </x:c>
      <x:c r="B16" s="85" t="str">
        <x:v>Техническое</x:v>
      </x:c>
      <x:c r="C16" s="85" t="str">
        <x:v>Барьер SB-BO подтверждает полноту каталога, interaction tests, доступность, визуальную регрессию и согласованную публикацию.</x:v>
      </x:c>
      <x:c r="D16" s="85" t="str">
        <x:v>E03</x:v>
      </x:c>
      <x:c r="E16" s="200" t="n">
        <x:f>IF(F16="",0,LEN(F16)-LEN(SUBSTITUTE(F16,",",""))+1)</x:f>
        <x:v>2</x:v>
      </x:c>
      <x:c r="F16" s="85" t="str">
        <x:v>E03-QA-01, E03-QA-02</x:v>
      </x:c>
      <x:c r="G16" s="188" t="str">
        <x:f>IF(E16&gt;0,"Покрыто","Пробел")</x:f>
        <x:v>Покрыто</x:v>
      </x:c>
    </x:row>
    <x:row r="17" ht="52" customHeight="1">
      <x:c r="A17" s="113" t="str">
        <x:v>Q-OPS-001</x:v>
      </x:c>
      <x:c r="B17" s="85" t="str">
        <x:v>Качество</x:v>
      </x:c>
      <x:c r="C17" s="85" t="str">
        <x:v>Каждый сервис валидирует переменные окружения при запуске и публикует актуальный `.env.example`.</x:v>
      </x:c>
      <x:c r="D17" s="85" t="str">
        <x:v>E01</x:v>
      </x:c>
      <x:c r="E17" s="200" t="n">
        <x:f>IF(F17="",0,LEN(F17)-LEN(SUBSTITUTE(F17,",",""))+1)</x:f>
        <x:v>1</x:v>
      </x:c>
      <x:c r="F17" s="85" t="str">
        <x:v>E01-BE-02</x:v>
      </x:c>
      <x:c r="G17" s="188" t="str">
        <x:f>IF(E17&gt;0,"Покрыто","Пробел")</x:f>
        <x:v>Покрыто</x:v>
      </x:c>
    </x:row>
    <x:row r="18" ht="52" customHeight="1">
      <x:c r="A18" s="113" t="str">
        <x:v>Q-OPS-002</x:v>
      </x:c>
      <x:c r="B18" s="85" t="str">
        <x:v>Качество</x:v>
      </x:c>
      <x:c r="C18" s="85" t="str">
        <x:v>Каждый репозиторий собирает минимальный production Docker image с непривилегированным пользователем и health-check.</x:v>
      </x:c>
      <x:c r="D18" s="85" t="str">
        <x:v>E01</x:v>
      </x:c>
      <x:c r="E18" s="200" t="n">
        <x:f>IF(F18="",0,LEN(F18)-LEN(SUBSTITUTE(F18,",",""))+1)</x:f>
        <x:v>3</x:v>
      </x:c>
      <x:c r="F18" s="85" t="str">
        <x:v>E01-DO-01, E01-DO-02, E01-DO-03</x:v>
      </x:c>
      <x:c r="G18" s="188" t="str">
        <x:f>IF(E18&gt;0,"Покрыто","Пробел")</x:f>
        <x:v>Покрыто</x:v>
      </x:c>
    </x:row>
    <x:row r="19" ht="52" customHeight="1">
      <x:c r="A19" s="113" t="str">
        <x:v>Q-OPS-003</x:v>
      </x:c>
      <x:c r="B19" s="85" t="str">
        <x:v>Качество</x:v>
      </x:c>
      <x:c r="C19" s="85" t="str">
        <x:v>Документация описывает `local`, `test` и `production`, их конфигурацию и порядок запуска.</x:v>
      </x:c>
      <x:c r="D19" s="85" t="str">
        <x:v>E01</x:v>
      </x:c>
      <x:c r="E19" s="200" t="n">
        <x:f>IF(F19="",0,LEN(F19)-LEN(SUBSTITUTE(F19,",",""))+1)</x:f>
        <x:v>1</x:v>
      </x:c>
      <x:c r="F19" s="85" t="str">
        <x:v>E01-DO-04</x:v>
      </x:c>
      <x:c r="G19" s="188" t="str">
        <x:f>IF(E19&gt;0,"Покрыто","Пробел")</x:f>
        <x:v>Покрыто</x:v>
      </x:c>
    </x:row>
    <x:row r="20" ht="52" customHeight="1">
      <x:c r="A20" s="113" t="str">
        <x:v>Q-OPS-004</x:v>
      </x:c>
      <x:c r="B20" s="85" t="str">
        <x:v>Качество</x:v>
      </x:c>
      <x:c r="C20" s="85" t="str">
        <x:v>Каждый репозиторий автономно разворачивает совместимую версию в общую test-среду.</x:v>
      </x:c>
      <x:c r="D20" s="85" t="str">
        <x:v>E01</x:v>
      </x:c>
      <x:c r="E20" s="200" t="n">
        <x:f>IF(F20="",0,LEN(F20)-LEN(SUBSTITUTE(F20,",",""))+1)</x:f>
        <x:v>1</x:v>
      </x:c>
      <x:c r="F20" s="85" t="str">
        <x:v>E01-DO-08</x:v>
      </x:c>
      <x:c r="G20" s="188" t="str">
        <x:f>IF(E20&gt;0,"Покрыто","Пробел")</x:f>
        <x:v>Покрыто</x:v>
      </x:c>
    </x:row>
    <x:row r="21" ht="52" customHeight="1">
      <x:c r="A21" s="113" t="str">
        <x:v>Q-OPS-005</x:v>
      </x:c>
      <x:c r="B21" s="85" t="str">
        <x:v>Качество</x:v>
      </x:c>
      <x:c r="C21" s="85" t="str">
        <x:v>Production pipeline выполняет версионирование, миграции, health-check, smoke и управляемое продвижение выпуска.</x:v>
      </x:c>
      <x:c r="D21" s="85" t="str">
        <x:v>E01</x:v>
      </x:c>
      <x:c r="E21" s="200" t="n">
        <x:f>IF(F21="",0,LEN(F21)-LEN(SUBSTITUTE(F21,",",""))+1)</x:f>
        <x:v>1</x:v>
      </x:c>
      <x:c r="F21" s="85" t="str">
        <x:v>E01-DO-09</x:v>
      </x:c>
      <x:c r="G21" s="188" t="str">
        <x:f>IF(E21&gt;0,"Покрыто","Пробел")</x:f>
        <x:v>Покрыто</x:v>
      </x:c>
    </x:row>
    <x:row r="22" ht="52" customHeight="1">
      <x:c r="A22" s="113" t="str">
        <x:v>Q-CI-001</x:v>
      </x:c>
      <x:c r="B22" s="85" t="str">
        <x:v>Качество</x:v>
      </x:c>
      <x:c r="C22" s="85" t="str">
        <x:v>CI backend выполняет `npm ci`, lint, typecheck, модульные и интеграционные тесты, OpenAPI check, production build и Docker build.</x:v>
      </x:c>
      <x:c r="D22" s="85" t="str">
        <x:v>E01</x:v>
      </x:c>
      <x:c r="E22" s="200" t="n">
        <x:f>IF(F22="",0,LEN(F22)-LEN(SUBSTITUTE(F22,",",""))+1)</x:f>
        <x:v>2</x:v>
      </x:c>
      <x:c r="F22" s="85" t="str">
        <x:v>E01-DO-05, E01-QA-01</x:v>
      </x:c>
      <x:c r="G22" s="188" t="str">
        <x:f>IF(E22&gt;0,"Покрыто","Пробел")</x:f>
        <x:v>Покрыто</x:v>
      </x:c>
    </x:row>
    <x:row r="23" ht="52" customHeight="1">
      <x:c r="A23" s="113" t="str">
        <x:v>Q-CI-002</x:v>
      </x:c>
      <x:c r="B23" s="85" t="str">
        <x:v>Качество</x:v>
      </x:c>
      <x:c r="C23" s="85" t="str">
        <x:v>CI front-office выполняет `npm ci`, lint, typecheck, тесты, Storybook checks, application build и Docker build.</x:v>
      </x:c>
      <x:c r="D23" s="85" t="str">
        <x:v>E01</x:v>
      </x:c>
      <x:c r="E23" s="200" t="n">
        <x:f>IF(F23="",0,LEN(F23)-LEN(SUBSTITUTE(F23,",",""))+1)</x:f>
        <x:v>2</x:v>
      </x:c>
      <x:c r="F23" s="85" t="str">
        <x:v>E01-DO-06, E01-QA-01</x:v>
      </x:c>
      <x:c r="G23" s="188" t="str">
        <x:f>IF(E23&gt;0,"Покрыто","Пробел")</x:f>
        <x:v>Покрыто</x:v>
      </x:c>
    </x:row>
    <x:row r="24" ht="52" customHeight="1">
      <x:c r="A24" s="113" t="str">
        <x:v>Q-CI-003</x:v>
      </x:c>
      <x:c r="B24" s="85" t="str">
        <x:v>Качество</x:v>
      </x:c>
      <x:c r="C24" s="85" t="str">
        <x:v>CI back-office выполняет `npm ci`, lint, typecheck, тесты, Storybook checks, application build и Docker build.</x:v>
      </x:c>
      <x:c r="D24" s="85" t="str">
        <x:v>E01</x:v>
      </x:c>
      <x:c r="E24" s="200" t="n">
        <x:f>IF(F24="",0,LEN(F24)-LEN(SUBSTITUTE(F24,",",""))+1)</x:f>
        <x:v>2</x:v>
      </x:c>
      <x:c r="F24" s="85" t="str">
        <x:v>E01-DO-07, E01-QA-01</x:v>
      </x:c>
      <x:c r="G24" s="188" t="str">
        <x:f>IF(E24&gt;0,"Покрыто","Пробел")</x:f>
        <x:v>Покрыто</x:v>
      </x:c>
    </x:row>
    <x:row r="25" ht="52" customHeight="1">
      <x:c r="A25" s="113" t="str">
        <x:v>Q-CI-FO-SB</x:v>
      </x:c>
      <x:c r="B25" s="85" t="str">
        <x:v>Качество</x:v>
      </x:c>
      <x:c r="C25" s="85" t="str">
        <x:v>Каждый pull request front-office публикует Storybook preview и результат визуальной регрессии.</x:v>
      </x:c>
      <x:c r="D25" s="85" t="str">
        <x:v>E02</x:v>
      </x:c>
      <x:c r="E25" s="200" t="n">
        <x:f>IF(F25="",0,LEN(F25)-LEN(SUBSTITUTE(F25,",",""))+1)</x:f>
        <x:v>1</x:v>
      </x:c>
      <x:c r="F25" s="85" t="str">
        <x:v>E02-DO-01</x:v>
      </x:c>
      <x:c r="G25" s="188" t="str">
        <x:f>IF(E25&gt;0,"Покрыто","Пробел")</x:f>
        <x:v>Покрыто</x:v>
      </x:c>
    </x:row>
    <x:row r="26" ht="52" customHeight="1">
      <x:c r="A26" s="113" t="str">
        <x:v>Q-CI-BO-SB</x:v>
      </x:c>
      <x:c r="B26" s="85" t="str">
        <x:v>Качество</x:v>
      </x:c>
      <x:c r="C26" s="85" t="str">
        <x:v>Каждый pull request back-office публикует Storybook preview и результат визуальной регрессии.</x:v>
      </x:c>
      <x:c r="D26" s="85" t="str">
        <x:v>E03</x:v>
      </x:c>
      <x:c r="E26" s="200" t="n">
        <x:f>IF(F26="",0,LEN(F26)-LEN(SUBSTITUTE(F26,",",""))+1)</x:f>
        <x:v>1</x:v>
      </x:c>
      <x:c r="F26" s="85" t="str">
        <x:v>E03-DO-01</x:v>
      </x:c>
      <x:c r="G26" s="188" t="str">
        <x:f>IF(E26&gt;0,"Покрыто","Пробел")</x:f>
        <x:v>Покрыто</x:v>
      </x:c>
    </x:row>
    <x:row r="27" ht="52" customHeight="1">
      <x:c r="A27" s="113" t="str">
        <x:v>BR-001</x:v>
      </x:c>
      <x:c r="B27" s="85" t="str">
        <x:v>Бизнес</x:v>
      </x:c>
      <x:c r="C27" s="85" t="str">
        <x:v>Публичное меню доступно гостю.</x:v>
      </x:c>
      <x:c r="D27" s="85" t="str">
        <x:v>E12</x:v>
      </x:c>
      <x:c r="E27" s="200" t="n">
        <x:f>IF(F27="",0,LEN(F27)-LEN(SUBSTITUTE(F27,",",""))+1)</x:f>
        <x:v>1</x:v>
      </x:c>
      <x:c r="F27" s="85" t="str">
        <x:v>E12-QA-06</x:v>
      </x:c>
      <x:c r="G27" s="188" t="str">
        <x:f>IF(E27&gt;0,"Покрыто","Пробел")</x:f>
        <x:v>Покрыто</x:v>
      </x:c>
    </x:row>
    <x:row r="28" ht="52" customHeight="1">
      <x:c r="A28" s="113" t="str">
        <x:v>BR-002</x:v>
      </x:c>
      <x:c r="B28" s="85" t="str">
        <x:v>Бизнес</x:v>
      </x:c>
      <x:c r="C28" s="85" t="str">
        <x:v>Оформление заказа требует подтверждённого номера телефона.</x:v>
      </x:c>
      <x:c r="D28" s="85" t="str">
        <x:v>E12</x:v>
      </x:c>
      <x:c r="E28" s="200" t="n">
        <x:f>IF(F28="",0,LEN(F28)-LEN(SUBSTITUTE(F28,",",""))+1)</x:f>
        <x:v>1</x:v>
      </x:c>
      <x:c r="F28" s="85" t="str">
        <x:v>E12-QA-06</x:v>
      </x:c>
      <x:c r="G28" s="188" t="str">
        <x:f>IF(E28&gt;0,"Покрыто","Пробел")</x:f>
        <x:v>Покрыто</x:v>
      </x:c>
    </x:row>
    <x:row r="29" ht="52" customHeight="1">
      <x:c r="A29" s="113" t="str">
        <x:v>BR-003</x:v>
      </x:c>
      <x:c r="B29" s="85" t="str">
        <x:v>Бизнес</x:v>
      </x:c>
      <x:c r="C29" s="85" t="str">
        <x:v>Сервер рассчитывает итоговую стоимость заказа.</x:v>
      </x:c>
      <x:c r="D29" s="85" t="str">
        <x:v>E07, E12</x:v>
      </x:c>
      <x:c r="E29" s="200" t="n">
        <x:f>IF(F29="",0,LEN(F29)-LEN(SUBSTITUTE(F29,",",""))+1)</x:f>
        <x:v>2</x:v>
      </x:c>
      <x:c r="F29" s="85" t="str">
        <x:v>E07-BE-02, E12-QA-06</x:v>
      </x:c>
      <x:c r="G29" s="188" t="str">
        <x:f>IF(E29&gt;0,"Покрыто","Пробел")</x:f>
        <x:v>Покрыто</x:v>
      </x:c>
    </x:row>
    <x:row r="30" ht="52" customHeight="1">
      <x:c r="A30" s="113" t="str">
        <x:v>BR-004</x:v>
      </x:c>
      <x:c r="B30" s="85" t="str">
        <x:v>Бизнес</x:v>
      </x:c>
      <x:c r="C30" s="85" t="str">
        <x:v>Заказ хранит снимок названий, цен, размеров и добавок на момент оформления.</x:v>
      </x:c>
      <x:c r="D30" s="85" t="str">
        <x:v>E12</x:v>
      </x:c>
      <x:c r="E30" s="200" t="n">
        <x:f>IF(F30="",0,LEN(F30)-LEN(SUBSTITUTE(F30,",",""))+1)</x:f>
        <x:v>1</x:v>
      </x:c>
      <x:c r="F30" s="85" t="str">
        <x:v>E12-QA-06</x:v>
      </x:c>
      <x:c r="G30" s="188" t="str">
        <x:f>IF(E30&gt;0,"Покрыто","Пробел")</x:f>
        <x:v>Покрыто</x:v>
      </x:c>
    </x:row>
    <x:row r="31" ht="52" customHeight="1">
      <x:c r="A31" s="113" t="str">
        <x:v>BR-005</x:v>
      </x:c>
      <x:c r="B31" s="85" t="str">
        <x:v>Бизнес</x:v>
      </x:c>
      <x:c r="C31" s="85" t="str">
        <x:v>Оплата выполняется на физической кассе Эвотор при получении.</x:v>
      </x:c>
      <x:c r="D31" s="85" t="str">
        <x:v>E09, E12</x:v>
      </x:c>
      <x:c r="E31" s="200" t="n">
        <x:f>IF(F31="",0,LEN(F31)-LEN(SUBSTITUTE(F31,",",""))+1)</x:f>
        <x:v>2</x:v>
      </x:c>
      <x:c r="F31" s="85" t="str">
        <x:v>E09-BE-01, E12-QA-06</x:v>
      </x:c>
      <x:c r="G31" s="188" t="str">
        <x:f>IF(E31&gt;0,"Покрыто","Пробел")</x:f>
        <x:v>Покрыто</x:v>
      </x:c>
    </x:row>
    <x:row r="32" ht="52" customHeight="1">
      <x:c r="A32" s="113" t="str">
        <x:v>BR-006</x:v>
      </x:c>
      <x:c r="B32" s="85" t="str">
        <x:v>Бизнес</x:v>
      </x:c>
      <x:c r="C32" s="85" t="str">
        <x:v>Сотрудник вручную подтверждает факт оплаты в back-office.</x:v>
      </x:c>
      <x:c r="D32" s="85" t="str">
        <x:v>E09, E12</x:v>
      </x:c>
      <x:c r="E32" s="200" t="n">
        <x:f>IF(F32="",0,LEN(F32)-LEN(SUBSTITUTE(F32,",",""))+1)</x:f>
        <x:v>2</x:v>
      </x:c>
      <x:c r="F32" s="85" t="str">
        <x:v>E09-BE-01, E12-QA-06</x:v>
      </x:c>
      <x:c r="G32" s="188" t="str">
        <x:f>IF(E32&gt;0,"Покрыто","Пробел")</x:f>
        <x:v>Покрыто</x:v>
      </x:c>
    </x:row>
    <x:row r="33" ht="52" customHeight="1">
      <x:c r="A33" s="113" t="str">
        <x:v>BR-007</x:v>
      </x:c>
      <x:c r="B33" s="85" t="str">
        <x:v>Бизнес</x:v>
      </x:c>
      <x:c r="C33" s="85" t="str">
        <x:v>Выдача доступна для заказа со стадией `Готов` и оплатой `Оплачен`.</x:v>
      </x:c>
      <x:c r="D33" s="85" t="str">
        <x:v>E09, E12</x:v>
      </x:c>
      <x:c r="E33" s="200" t="n">
        <x:f>IF(F33="",0,LEN(F33)-LEN(SUBSTITUTE(F33,",",""))+1)</x:f>
        <x:v>2</x:v>
      </x:c>
      <x:c r="F33" s="85" t="str">
        <x:v>E09-BE-01, E12-QA-06</x:v>
      </x:c>
      <x:c r="G33" s="188" t="str">
        <x:f>IF(E33&gt;0,"Покрыто","Пробел")</x:f>
        <x:v>Покрыто</x:v>
      </x:c>
    </x:row>
    <x:row r="34" ht="52" customHeight="1">
      <x:c r="A34" s="113" t="str">
        <x:v>BR-008</x:v>
      </x:c>
      <x:c r="B34" s="85" t="str">
        <x:v>Бизнес</x:v>
      </x:c>
      <x:c r="C34" s="85" t="str">
        <x:v>Изменение меню сохраняет историю ранее созданных заказов через снимки позиций.</x:v>
      </x:c>
      <x:c r="D34" s="85" t="str">
        <x:v>E12</x:v>
      </x:c>
      <x:c r="E34" s="200" t="n">
        <x:f>IF(F34="",0,LEN(F34)-LEN(SUBSTITUTE(F34,",",""))+1)</x:f>
        <x:v>1</x:v>
      </x:c>
      <x:c r="F34" s="85" t="str">
        <x:v>E12-QA-06</x:v>
      </x:c>
      <x:c r="G34" s="188" t="str">
        <x:f>IF(E34&gt;0,"Покрыто","Пробел")</x:f>
        <x:v>Покрыто</x:v>
      </x:c>
    </x:row>
    <x:row r="35" ht="52" customHeight="1">
      <x:c r="A35" s="113" t="str">
        <x:v>BR-009</x:v>
      </x:c>
      <x:c r="B35" s="85" t="str">
        <x:v>Бизнес</x:v>
      </x:c>
      <x:c r="C35" s="85" t="str">
        <x:v>Доступность проверяется при загрузке меню и при создании заказа.</x:v>
      </x:c>
      <x:c r="D35" s="85" t="str">
        <x:v>E07, E12</x:v>
      </x:c>
      <x:c r="E35" s="200" t="n">
        <x:f>IF(F35="",0,LEN(F35)-LEN(SUBSTITUTE(F35,",",""))+1)</x:f>
        <x:v>2</x:v>
      </x:c>
      <x:c r="F35" s="85" t="str">
        <x:v>E07-BE-02, E12-QA-06</x:v>
      </x:c>
      <x:c r="G35" s="188" t="str">
        <x:f>IF(E35&gt;0,"Покрыто","Пробел")</x:f>
        <x:v>Покрыто</x:v>
      </x:c>
    </x:row>
    <x:row r="36" ht="52" customHeight="1">
      <x:c r="A36" s="113" t="str">
        <x:v>BR-010</x:v>
      </x:c>
      <x:c r="B36" s="85" t="str">
        <x:v>Бизнес</x:v>
      </x:c>
      <x:c r="C36" s="85" t="str">
        <x:v>Каждое действие сотрудника по заказу и доступности содержит автора и время.</x:v>
      </x:c>
      <x:c r="D36" s="85" t="str">
        <x:v>E12</x:v>
      </x:c>
      <x:c r="E36" s="200" t="n">
        <x:f>IF(F36="",0,LEN(F36)-LEN(SUBSTITUTE(F36,",",""))+1)</x:f>
        <x:v>1</x:v>
      </x:c>
      <x:c r="F36" s="85" t="str">
        <x:v>E12-QA-06</x:v>
      </x:c>
      <x:c r="G36" s="188" t="str">
        <x:f>IF(E36&gt;0,"Покрыто","Пробел")</x:f>
        <x:v>Покрыто</x:v>
      </x:c>
    </x:row>
    <x:row r="37" ht="52" customHeight="1">
      <x:c r="A37" s="113" t="str">
        <x:v>BR-011</x:v>
      </x:c>
      <x:c r="B37" s="85" t="str">
        <x:v>Бизнес</x:v>
      </x:c>
      <x:c r="C37" s="85" t="str">
        <x:v>Порядок стадий направлен вперёд: `Оформлен` → `Принят` → `Готовится` → `Готов` → `Выдан`.</x:v>
      </x:c>
      <x:c r="D37" s="85" t="str">
        <x:v>E08, E12</x:v>
      </x:c>
      <x:c r="E37" s="200" t="n">
        <x:f>IF(F37="",0,LEN(F37)-LEN(SUBSTITUTE(F37,",",""))+1)</x:f>
        <x:v>2</x:v>
      </x:c>
      <x:c r="F37" s="85" t="str">
        <x:v>E08-BE-01, E12-QA-06</x:v>
      </x:c>
      <x:c r="G37" s="188" t="str">
        <x:f>IF(E37&gt;0,"Покрыто","Пробел")</x:f>
        <x:v>Покрыто</x:v>
      </x:c>
    </x:row>
    <x:row r="38" ht="52" customHeight="1">
      <x:c r="A38" s="113" t="str">
        <x:v>BR-012</x:v>
      </x:c>
      <x:c r="B38" s="85" t="str">
        <x:v>Бизнес</x:v>
      </x:c>
      <x:c r="C38" s="85" t="str">
        <x:v>Статус оплаты развивается отдельно: `К оплате` → `Оплачен`.</x:v>
      </x:c>
      <x:c r="D38" s="85" t="str">
        <x:v>E09, E12</x:v>
      </x:c>
      <x:c r="E38" s="200" t="n">
        <x:f>IF(F38="",0,LEN(F38)-LEN(SUBSTITUTE(F38,",",""))+1)</x:f>
        <x:v>2</x:v>
      </x:c>
      <x:c r="F38" s="85" t="str">
        <x:v>E09-BE-01, E12-QA-06</x:v>
      </x:c>
      <x:c r="G38" s="188" t="str">
        <x:f>IF(E38&gt;0,"Покрыто","Пробел")</x:f>
        <x:v>Покрыто</x:v>
      </x:c>
    </x:row>
    <x:row r="39" ht="52" customHeight="1">
      <x:c r="A39" s="113" t="str">
        <x:v>BR-013</x:v>
      </x:c>
      <x:c r="B39" s="85" t="str">
        <x:v>Бизнес</x:v>
      </x:c>
      <x:c r="C39" s="85" t="str">
        <x:v>Глобальный переключатель приёма заказов управляет возможностью оформления.</x:v>
      </x:c>
      <x:c r="D39" s="85" t="str">
        <x:v>E11, E12</x:v>
      </x:c>
      <x:c r="E39" s="200" t="n">
        <x:f>IF(F39="",0,LEN(F39)-LEN(SUBSTITUTE(F39,",",""))+1)</x:f>
        <x:v>3</x:v>
      </x:c>
      <x:c r="F39" s="85" t="str">
        <x:v>E11-BE-04, E11-BO-04, E12-QA-06</x:v>
      </x:c>
      <x:c r="G39" s="188" t="str">
        <x:f>IF(E39&gt;0,"Покрыто","Пробел")</x:f>
        <x:v>Покрыто</x:v>
      </x:c>
    </x:row>
    <x:row r="40" ht="52" customHeight="1">
      <x:c r="A40" s="113" t="str">
        <x:v>BR-014</x:v>
      </x:c>
      <x:c r="B40" s="85" t="str">
        <x:v>Бизнес</x:v>
      </x:c>
      <x:c r="C40" s="85" t="str">
        <x:v>Валюта интерфейса — российский рубль. Денежные значения хранятся целым числом копеек.</x:v>
      </x:c>
      <x:c r="D40" s="85" t="str">
        <x:v>E12</x:v>
      </x:c>
      <x:c r="E40" s="200" t="n">
        <x:f>IF(F40="",0,LEN(F40)-LEN(SUBSTITUTE(F40,",",""))+1)</x:f>
        <x:v>1</x:v>
      </x:c>
      <x:c r="F40" s="85" t="str">
        <x:v>E12-QA-06</x:v>
      </x:c>
      <x:c r="G40" s="188" t="str">
        <x:f>IF(E40&gt;0,"Покрыто","Пробел")</x:f>
        <x:v>Покрыто</x:v>
      </x:c>
    </x:row>
    <x:row r="41" ht="52" customHeight="1">
      <x:c r="A41" s="113" t="str">
        <x:v>BR-015</x:v>
      </x:c>
      <x:c r="B41" s="85" t="str">
        <x:v>Бизнес</x:v>
      </x:c>
      <x:c r="C41" s="85" t="str">
        <x:v>Уникальная конфигурация позиции определяется товаром, размером и набором добавок.</x:v>
      </x:c>
      <x:c r="D41" s="85" t="str">
        <x:v>E12</x:v>
      </x:c>
      <x:c r="E41" s="200" t="n">
        <x:f>IF(F41="",0,LEN(F41)-LEN(SUBSTITUTE(F41,",",""))+1)</x:f>
        <x:v>1</x:v>
      </x:c>
      <x:c r="F41" s="85" t="str">
        <x:v>E12-QA-06</x:v>
      </x:c>
      <x:c r="G41" s="188" t="str">
        <x:f>IF(E41&gt;0,"Покрыто","Пробел")</x:f>
        <x:v>Покрыто</x:v>
      </x:c>
    </x:row>
    <x:row r="42" ht="52" customHeight="1">
      <x:c r="A42" s="113" t="str">
        <x:v>FR-AUTH-001</x:v>
      </x:c>
      <x:c r="B42" s="85" t="str">
        <x:v>Функциональное</x:v>
      </x:c>
      <x:c r="C42" s="85" t="str">
        <x:v>Система принимает российский номер телефона и приводит его к формату E.164.</x:v>
      </x:c>
      <x:c r="D42" s="85" t="str">
        <x:v>E02, E04, E12</x:v>
      </x:c>
      <x:c r="E42" s="200" t="n">
        <x:f>IF(F42="",0,LEN(F42)-LEN(SUBSTITUTE(F42,",",""))+1)</x:f>
        <x:v>8</x:v>
      </x:c>
      <x:c r="F42" s="85" t="str">
        <x:v>E02-FO-04, E02-FO-16, E04-BE-01, E04-BE-02, E04-FO-02, E04-QA-01, E04-QA-02, E12-QA-06</x:v>
      </x:c>
      <x:c r="G42" s="188" t="str">
        <x:f>IF(E42&gt;0,"Покрыто","Пробел")</x:f>
        <x:v>Покрыто</x:v>
      </x:c>
    </x:row>
    <x:row r="43" ht="52" customHeight="1">
      <x:c r="A43" s="113" t="str">
        <x:v>FR-AUTH-002</x:v>
      </x:c>
      <x:c r="B43" s="85" t="str">
        <x:v>Функциональное</x:v>
      </x:c>
      <x:c r="C43" s="85" t="str">
        <x:v>Система отправляет шестизначный одноразовый код через адаптер SMS-провайдера.</x:v>
      </x:c>
      <x:c r="D43" s="85" t="str">
        <x:v>E02, E04, E12</x:v>
      </x:c>
      <x:c r="E43" s="200" t="n">
        <x:f>IF(F43="",0,LEN(F43)-LEN(SUBSTITUTE(F43,",",""))+1)</x:f>
        <x:v>9</x:v>
      </x:c>
      <x:c r="F43" s="85" t="str">
        <x:v>E02-FO-16, E04-BE-01, E04-BE-03, E04-BE-04, E04-FO-01, E04-FO-02, E04-QA-01, E04-QA-02, E12-QA-06</x:v>
      </x:c>
      <x:c r="G43" s="188" t="str">
        <x:f>IF(E43&gt;0,"Покрыто","Пробел")</x:f>
        <x:v>Покрыто</x:v>
      </x:c>
    </x:row>
    <x:row r="44" ht="52" customHeight="1">
      <x:c r="A44" s="113" t="str">
        <x:v>FR-AUTH-003</x:v>
      </x:c>
      <x:c r="B44" s="85" t="str">
        <x:v>Функциональное</x:v>
      </x:c>
      <x:c r="C44" s="85" t="str">
        <x:v>Срок действия кода составляет 5 минут.</x:v>
      </x:c>
      <x:c r="D44" s="85" t="str">
        <x:v>E02, E04, E12</x:v>
      </x:c>
      <x:c r="E44" s="200" t="n">
        <x:f>IF(F44="",0,LEN(F44)-LEN(SUBSTITUTE(F44,",",""))+1)</x:f>
        <x:v>9</x:v>
      </x:c>
      <x:c r="F44" s="85" t="str">
        <x:v>E02-FO-16, E04-BE-01, E04-BE-02, E04-BE-03, E04-FO-01, E04-FO-02, E04-QA-01, E04-QA-02, E12-QA-06</x:v>
      </x:c>
      <x:c r="G44" s="188" t="str">
        <x:f>IF(E44&gt;0,"Покрыто","Пробел")</x:f>
        <x:v>Покрыто</x:v>
      </x:c>
    </x:row>
    <x:row r="45" ht="52" customHeight="1">
      <x:c r="A45" s="113" t="str">
        <x:v>FR-AUTH-004</x:v>
      </x:c>
      <x:c r="B45" s="85" t="str">
        <x:v>Функциональное</x:v>
      </x:c>
      <x:c r="C45" s="85" t="str">
        <x:v>Повторная отправка доступна через 60 секунд.</x:v>
      </x:c>
      <x:c r="D45" s="85" t="str">
        <x:v>E02, E04, E12</x:v>
      </x:c>
      <x:c r="E45" s="200" t="n">
        <x:f>IF(F45="",0,LEN(F45)-LEN(SUBSTITUTE(F45,",",""))+1)</x:f>
        <x:v>10</x:v>
      </x:c>
      <x:c r="F45" s="85" t="str">
        <x:v>E02-FO-04, E02-FO-16, E04-BE-01, E04-BE-02, E04-BE-03, E04-FO-01, E04-FO-02, E04-QA-01, E04-QA-02, E12-QA-06</x:v>
      </x:c>
      <x:c r="G45" s="188" t="str">
        <x:f>IF(E45&gt;0,"Покрыто","Пробел")</x:f>
        <x:v>Покрыто</x:v>
      </x:c>
    </x:row>
    <x:row r="46" ht="52" customHeight="1">
      <x:c r="A46" s="113" t="str">
        <x:v>FR-AUTH-005</x:v>
      </x:c>
      <x:c r="B46" s="85" t="str">
        <x:v>Функциональное</x:v>
      </x:c>
      <x:c r="C46" s="85" t="str">
        <x:v>Один код поддерживает до 5 попыток ввода.</x:v>
      </x:c>
      <x:c r="D46" s="85" t="str">
        <x:v>E02, E04, E12</x:v>
      </x:c>
      <x:c r="E46" s="200" t="n">
        <x:f>IF(F46="",0,LEN(F46)-LEN(SUBSTITUTE(F46,",",""))+1)</x:f>
        <x:v>10</x:v>
      </x:c>
      <x:c r="F46" s="85" t="str">
        <x:v>E02-FO-16, E04-BE-01, E04-BE-02, E04-BE-03, E04-BE-05, E04-FO-01, E04-FO-02, E04-QA-01, E04-QA-02, E12-QA-06</x:v>
      </x:c>
      <x:c r="G46" s="188" t="str">
        <x:f>IF(E46&gt;0,"Покрыто","Пробел")</x:f>
        <x:v>Покрыто</x:v>
      </x:c>
    </x:row>
    <x:row r="47" ht="52" customHeight="1">
      <x:c r="A47" s="113" t="str">
        <x:v>FR-AUTH-006</x:v>
      </x:c>
      <x:c r="B47" s="85" t="str">
        <x:v>Функциональное</x:v>
      </x:c>
      <x:c r="C47" s="85" t="str">
        <x:v>Успешная проверка создаёт customer при первом входе.</x:v>
      </x:c>
      <x:c r="D47" s="85" t="str">
        <x:v>E02, E04, E12</x:v>
      </x:c>
      <x:c r="E47" s="200" t="n">
        <x:f>IF(F47="",0,LEN(F47)-LEN(SUBSTITUTE(F47,",",""))+1)</x:f>
        <x:v>8</x:v>
      </x:c>
      <x:c r="F47" s="85" t="str">
        <x:v>E02-FO-16, E04-BE-01, E04-BE-05, E04-FO-01, E04-FO-02, E04-QA-01, E04-QA-02, E12-QA-06</x:v>
      </x:c>
      <x:c r="G47" s="188" t="str">
        <x:f>IF(E47&gt;0,"Покрыто","Пробел")</x:f>
        <x:v>Покрыто</x:v>
      </x:c>
    </x:row>
    <x:row r="48" ht="52" customHeight="1">
      <x:c r="A48" s="113" t="str">
        <x:v>FR-AUTH-007</x:v>
      </x:c>
      <x:c r="B48" s="85" t="str">
        <x:v>Функциональное</x:v>
      </x:c>
      <x:c r="C48" s="85" t="str">
        <x:v>Сессия использует короткоживущий access token и обновляемый refresh token.</x:v>
      </x:c>
      <x:c r="D48" s="85" t="str">
        <x:v>E04, E12</x:v>
      </x:c>
      <x:c r="E48" s="200" t="n">
        <x:f>IF(F48="",0,LEN(F48)-LEN(SUBSTITUTE(F48,",",""))+1)</x:f>
        <x:v>9</x:v>
      </x:c>
      <x:c r="F48" s="85" t="str">
        <x:v>E04-BE-01, E04-BE-05, E04-BE-06, E04-FO-01, E04-FO-03, E04-BO-01, E04-QA-01, E04-QA-02, E12-QA-06</x:v>
      </x:c>
      <x:c r="G48" s="188" t="str">
        <x:f>IF(E48&gt;0,"Покрыто","Пробел")</x:f>
        <x:v>Покрыто</x:v>
      </x:c>
    </x:row>
    <x:row r="49" ht="52" customHeight="1">
      <x:c r="A49" s="113" t="str">
        <x:v>FR-AUTH-008</x:v>
      </x:c>
      <x:c r="B49" s="85" t="str">
        <x:v>Функциональное</x:v>
      </x:c>
      <x:c r="C49" s="85" t="str">
        <x:v>Refresh token хранится в защищённой HttpOnly-cookie и обновляется при использовании.</x:v>
      </x:c>
      <x:c r="D49" s="85" t="str">
        <x:v>E04, E12</x:v>
      </x:c>
      <x:c r="E49" s="200" t="n">
        <x:f>IF(F49="",0,LEN(F49)-LEN(SUBSTITUTE(F49,",",""))+1)</x:f>
        <x:v>8</x:v>
      </x:c>
      <x:c r="F49" s="85" t="str">
        <x:v>E04-BE-01, E04-BE-06, E04-FO-01, E04-FO-03, E04-BO-01, E04-QA-01, E04-QA-02, E12-QA-06</x:v>
      </x:c>
      <x:c r="G49" s="188" t="str">
        <x:f>IF(E49&gt;0,"Покрыто","Пробел")</x:f>
        <x:v>Покрыто</x:v>
      </x:c>
    </x:row>
    <x:row r="50" ht="52" customHeight="1">
      <x:c r="A50" s="113" t="str">
        <x:v>FR-AUTH-009</x:v>
      </x:c>
      <x:c r="B50" s="85" t="str">
        <x:v>Функциональное</x:v>
      </x:c>
      <x:c r="C50" s="85" t="str">
        <x:v>Front-office восстанавливает сессию после перезагрузки страницы.</x:v>
      </x:c>
      <x:c r="D50" s="85" t="str">
        <x:v>E04, E07, E12</x:v>
      </x:c>
      <x:c r="E50" s="200" t="n">
        <x:f>IF(F50="",0,LEN(F50)-LEN(SUBSTITUTE(F50,",",""))+1)</x:f>
        <x:v>10</x:v>
      </x:c>
      <x:c r="F50" s="85" t="str">
        <x:v>E04-BE-01, E04-BE-06, E04-FO-01, E04-FO-03, E04-FO-04, E04-BO-01, E04-QA-01, E04-QA-02, E07-FO-04, E12-QA-06</x:v>
      </x:c>
      <x:c r="G50" s="188" t="str">
        <x:f>IF(E50&gt;0,"Покрыто","Пробел")</x:f>
        <x:v>Покрыто</x:v>
      </x:c>
    </x:row>
    <x:row r="51" ht="52" customHeight="1">
      <x:c r="A51" s="113" t="str">
        <x:v>FR-AUTH-010</x:v>
      </x:c>
      <x:c r="B51" s="85" t="str">
        <x:v>Функциональное</x:v>
      </x:c>
      <x:c r="C51" s="85" t="str">
        <x:v>Back-office допускает пользователей с ролью barista либо administrator.</x:v>
      </x:c>
      <x:c r="D51" s="85" t="str">
        <x:v>E01, E03, E04, E12</x:v>
      </x:c>
      <x:c r="E51" s="200" t="n">
        <x:f>IF(F51="",0,LEN(F51)-LEN(SUBSTITUTE(F51,",",""))+1)</x:f>
        <x:v>13</x:v>
      </x:c>
      <x:c r="F51" s="85" t="str">
        <x:v>E01-BE-06, E03-BO-18, E04-BE-01, E04-BE-06, E04-BE-07, E04-BE-08, E04-FO-03, E04-BO-01, E04-BO-02, E04-BO-03, E04-QA-01, E04-QA-02, E12-QA-06</x:v>
      </x:c>
      <x:c r="G51" s="188" t="str">
        <x:f>IF(E51&gt;0,"Покрыто","Пробел")</x:f>
        <x:v>Покрыто</x:v>
      </x:c>
    </x:row>
    <x:row r="52" ht="52" customHeight="1">
      <x:c r="A52" s="113" t="str">
        <x:v>FR-AUTH-011</x:v>
      </x:c>
      <x:c r="B52" s="85" t="str">
        <x:v>Функциональное</x:v>
      </x:c>
      <x:c r="C52" s="85" t="str">
        <x:v>Выход завершает текущую сессию и отзывает refresh token.</x:v>
      </x:c>
      <x:c r="D52" s="85" t="str">
        <x:v>E04, E12</x:v>
      </x:c>
      <x:c r="E52" s="200" t="n">
        <x:f>IF(F52="",0,LEN(F52)-LEN(SUBSTITUTE(F52,",",""))+1)</x:f>
        <x:v>7</x:v>
      </x:c>
      <x:c r="F52" s="85" t="str">
        <x:v>E04-BE-01, E04-BE-06, E04-FO-03, E04-BO-01, E04-QA-01, E04-QA-02, E12-QA-06</x:v>
      </x:c>
      <x:c r="G52" s="188" t="str">
        <x:f>IF(E52&gt;0,"Покрыто","Пробел")</x:f>
        <x:v>Покрыто</x:v>
      </x:c>
    </x:row>
    <x:row r="53" ht="52" customHeight="1">
      <x:c r="A53" s="113" t="str">
        <x:v>FR-AUTH-012</x:v>
      </x:c>
      <x:c r="B53" s="85" t="str">
        <x:v>Функциональное</x:v>
      </x:c>
      <x:c r="C53" s="85" t="str">
        <x:v>Тестовая среда поддерживает фиксированный код через переменную окружения.</x:v>
      </x:c>
      <x:c r="D53" s="85" t="str">
        <x:v>E04, E12</x:v>
      </x:c>
      <x:c r="E53" s="200" t="n">
        <x:f>IF(F53="",0,LEN(F53)-LEN(SUBSTITUTE(F53,",",""))+1)</x:f>
        <x:v>5</x:v>
      </x:c>
      <x:c r="F53" s="85" t="str">
        <x:v>E04-BE-01, E04-BE-04, E04-QA-01, E04-QA-02, E12-QA-06</x:v>
      </x:c>
      <x:c r="G53" s="188" t="str">
        <x:f>IF(E53&gt;0,"Покрыто","Пробел")</x:f>
        <x:v>Покрыто</x:v>
      </x:c>
    </x:row>
    <x:row r="54" ht="52" customHeight="1">
      <x:c r="A54" s="113" t="str">
        <x:v>FR-CAT-001</x:v>
      </x:c>
      <x:c r="B54" s="85" t="str">
        <x:v>Функциональное</x:v>
      </x:c>
      <x:c r="C54" s="85" t="str">
        <x:v>Публичное меню содержит активные категории в заданном порядке.</x:v>
      </x:c>
      <x:c r="D54" s="85" t="str">
        <x:v>E02, E05, E12</x:v>
      </x:c>
      <x:c r="E54" s="200" t="n">
        <x:f>IF(F54="",0,LEN(F54)-LEN(SUBSTITUTE(F54,",",""))+1)</x:f>
        <x:v>10</x:v>
      </x:c>
      <x:c r="F54" s="85" t="str">
        <x:v>E02-FO-05, E02-FO-14, E05-BE-01, E05-BE-03, E05-FO-01, E05-FO-02, E05-FO-05, E05-QA-01, E05-QA-02, E12-QA-06</x:v>
      </x:c>
      <x:c r="G54" s="188" t="str">
        <x:f>IF(E54&gt;0,"Покрыто","Пробел")</x:f>
        <x:v>Покрыто</x:v>
      </x:c>
    </x:row>
    <x:row r="55" ht="52" customHeight="1">
      <x:c r="A55" s="113" t="str">
        <x:v>FR-CAT-002</x:v>
      </x:c>
      <x:c r="B55" s="85" t="str">
        <x:v>Функциональное</x:v>
      </x:c>
      <x:c r="C55" s="85" t="str">
        <x:v>Категория содержит название, описание, порядок и признак активности.</x:v>
      </x:c>
      <x:c r="D55" s="85" t="str">
        <x:v>E02, E05, E12</x:v>
      </x:c>
      <x:c r="E55" s="200" t="n">
        <x:f>IF(F55="",0,LEN(F55)-LEN(SUBSTITUTE(F55,",",""))+1)</x:f>
        <x:v>8</x:v>
      </x:c>
      <x:c r="F55" s="85" t="str">
        <x:v>E02-FO-14, E05-BE-01, E05-BE-03, E05-FO-01, E05-FO-02, E05-QA-01, E05-QA-02, E12-QA-06</x:v>
      </x:c>
      <x:c r="G55" s="188" t="str">
        <x:f>IF(E55&gt;0,"Покрыто","Пробел")</x:f>
        <x:v>Покрыто</x:v>
      </x:c>
    </x:row>
    <x:row r="56" ht="52" customHeight="1">
      <x:c r="A56" s="113" t="str">
        <x:v>FR-CAT-003</x:v>
      </x:c>
      <x:c r="B56" s="85" t="str">
        <x:v>Функциональное</x:v>
      </x:c>
      <x:c r="C56" s="85" t="str">
        <x:v>Товар содержит категорию, название, описание, изображение, порядок и оперативную доступность.</x:v>
      </x:c>
      <x:c r="D56" s="85" t="str">
        <x:v>E02, E05, E12</x:v>
      </x:c>
      <x:c r="E56" s="200" t="n">
        <x:f>IF(F56="",0,LEN(F56)-LEN(SUBSTITUTE(F56,",",""))+1)</x:f>
        <x:v>10</x:v>
      </x:c>
      <x:c r="F56" s="85" t="str">
        <x:v>E02-FO-06, E02-FO-14, E05-BE-01, E05-BE-03, E05-FO-01, E05-FO-02, E05-FO-04, E05-QA-01, E05-QA-02, E12-QA-06</x:v>
      </x:c>
      <x:c r="G56" s="188" t="str">
        <x:f>IF(E56&gt;0,"Покрыто","Пробел")</x:f>
        <x:v>Покрыто</x:v>
      </x:c>
    </x:row>
    <x:row r="57" ht="52" customHeight="1">
      <x:c r="A57" s="113" t="str">
        <x:v>FR-CAT-004</x:v>
      </x:c>
      <x:c r="B57" s="85" t="str">
        <x:v>Функциональное</x:v>
      </x:c>
      <x:c r="C57" s="85" t="str">
        <x:v>Товар содержит один либо несколько вариантов размера.</x:v>
      </x:c>
      <x:c r="D57" s="85" t="str">
        <x:v>E02, E05, E12</x:v>
      </x:c>
      <x:c r="E57" s="200" t="n">
        <x:f>IF(F57="",0,LEN(F57)-LEN(SUBSTITUTE(F57,",",""))+1)</x:f>
        <x:v>11</x:v>
      </x:c>
      <x:c r="F57" s="85" t="str">
        <x:v>E02-FO-07, E02-FO-14, E05-BE-01, E05-BE-02, E05-BE-03, E05-FO-01, E05-FO-02, E05-FO-03, E05-QA-01, E05-QA-02, E12-QA-06</x:v>
      </x:c>
      <x:c r="G57" s="188" t="str">
        <x:f>IF(E57&gt;0,"Покрыто","Пробел")</x:f>
        <x:v>Покрыто</x:v>
      </x:c>
    </x:row>
    <x:row r="58" ht="52" customHeight="1">
      <x:c r="A58" s="113" t="str">
        <x:v>FR-CAT-005</x:v>
      </x:c>
      <x:c r="B58" s="85" t="str">
        <x:v>Функциональное</x:v>
      </x:c>
      <x:c r="C58" s="85" t="str">
        <x:v>Вариант размера содержит отображаемое название, цену, порядок и оперативную доступность.</x:v>
      </x:c>
      <x:c r="D58" s="85" t="str">
        <x:v>E02, E05, E12</x:v>
      </x:c>
      <x:c r="E58" s="200" t="n">
        <x:f>IF(F58="",0,LEN(F58)-LEN(SUBSTITUTE(F58,",",""))+1)</x:f>
        <x:v>11</x:v>
      </x:c>
      <x:c r="F58" s="85" t="str">
        <x:v>E02-FO-06, E02-FO-14, E05-BE-01, E05-BE-02, E05-BE-03, E05-FO-01, E05-FO-02, E05-FO-03, E05-QA-01, E05-QA-02, E12-QA-06</x:v>
      </x:c>
      <x:c r="G58" s="188" t="str">
        <x:f>IF(E58&gt;0,"Покрыто","Пробел")</x:f>
        <x:v>Покрыто</x:v>
      </x:c>
    </x:row>
    <x:row r="59" ht="52" customHeight="1">
      <x:c r="A59" s="113" t="str">
        <x:v>FR-CAT-006</x:v>
      </x:c>
      <x:c r="B59" s="85" t="str">
        <x:v>Функциональное</x:v>
      </x:c>
      <x:c r="C59" s="85" t="str">
        <x:v>Товар с единственным вариантом отображает этот вариант как стандартный.</x:v>
      </x:c>
      <x:c r="D59" s="85" t="str">
        <x:v>E02, E05, E12</x:v>
      </x:c>
      <x:c r="E59" s="200" t="n">
        <x:f>IF(F59="",0,LEN(F59)-LEN(SUBSTITUTE(F59,",",""))+1)</x:f>
        <x:v>10</x:v>
      </x:c>
      <x:c r="F59" s="85" t="str">
        <x:v>E02-FO-14, E05-BE-01, E05-BE-02, E05-BE-03, E05-FO-01, E05-FO-02, E05-FO-03, E05-QA-01, E05-QA-02, E12-QA-06</x:v>
      </x:c>
      <x:c r="G59" s="188" t="str">
        <x:f>IF(E59&gt;0,"Покрыто","Пробел")</x:f>
        <x:v>Покрыто</x:v>
      </x:c>
    </x:row>
    <x:row r="60" ht="52" customHeight="1">
      <x:c r="A60" s="113" t="str">
        <x:v>FR-CAT-007</x:v>
      </x:c>
      <x:c r="B60" s="85" t="str">
        <x:v>Функциональное</x:v>
      </x:c>
      <x:c r="C60" s="85" t="str">
        <x:v>Группа добавок содержит название, обязательность, тип выбора, минимум и максимум выбранных вариантов.</x:v>
      </x:c>
      <x:c r="D60" s="85" t="str">
        <x:v>E02, E05, E12</x:v>
      </x:c>
      <x:c r="E60" s="200" t="n">
        <x:f>IF(F60="",0,LEN(F60)-LEN(SUBSTITUTE(F60,",",""))+1)</x:f>
        <x:v>10</x:v>
      </x:c>
      <x:c r="F60" s="85" t="str">
        <x:v>E02-FO-07, E02-FO-14, E05-BE-01, E05-BE-02, E05-BE-03, E05-FO-01, E05-FO-03, E05-QA-01, E05-QA-02, E12-QA-06</x:v>
      </x:c>
      <x:c r="G60" s="188" t="str">
        <x:f>IF(E60&gt;0,"Покрыто","Пробел")</x:f>
        <x:v>Покрыто</x:v>
      </x:c>
    </x:row>
    <x:row r="61" ht="52" customHeight="1">
      <x:c r="A61" s="113" t="str">
        <x:v>FR-CAT-008</x:v>
      </x:c>
      <x:c r="B61" s="85" t="str">
        <x:v>Функциональное</x:v>
      </x:c>
      <x:c r="C61" s="85" t="str">
        <x:v>Тип выбора принимает значения `single` и `multiple`.</x:v>
      </x:c>
      <x:c r="D61" s="85" t="str">
        <x:v>E02, E05, E12</x:v>
      </x:c>
      <x:c r="E61" s="200" t="n">
        <x:f>IF(F61="",0,LEN(F61)-LEN(SUBSTITUTE(F61,",",""))+1)</x:f>
        <x:v>9</x:v>
      </x:c>
      <x:c r="F61" s="85" t="str">
        <x:v>E02-FO-14, E05-BE-01, E05-BE-02, E05-BE-03, E05-FO-01, E05-FO-03, E05-QA-01, E05-QA-02, E12-QA-06</x:v>
      </x:c>
      <x:c r="G61" s="188" t="str">
        <x:f>IF(E61&gt;0,"Покрыто","Пробел")</x:f>
        <x:v>Покрыто</x:v>
      </x:c>
    </x:row>
    <x:row r="62" ht="52" customHeight="1">
      <x:c r="A62" s="113" t="str">
        <x:v>FR-CAT-009</x:v>
      </x:c>
      <x:c r="B62" s="85" t="str">
        <x:v>Функциональное</x:v>
      </x:c>
      <x:c r="C62" s="85" t="str">
        <x:v>Добавка содержит название, изменение цены, порядок и оперативную доступность.</x:v>
      </x:c>
      <x:c r="D62" s="85" t="str">
        <x:v>E02, E05, E12</x:v>
      </x:c>
      <x:c r="E62" s="200" t="n">
        <x:f>IF(F62="",0,LEN(F62)-LEN(SUBSTITUTE(F62,",",""))+1)</x:f>
        <x:v>9</x:v>
      </x:c>
      <x:c r="F62" s="85" t="str">
        <x:v>E02-FO-14, E05-BE-01, E05-BE-02, E05-BE-03, E05-FO-01, E05-FO-03, E05-QA-01, E05-QA-02, E12-QA-06</x:v>
      </x:c>
      <x:c r="G62" s="188" t="str">
        <x:f>IF(E62&gt;0,"Покрыто","Пробел")</x:f>
        <x:v>Покрыто</x:v>
      </x:c>
    </x:row>
    <x:row r="63" ht="52" customHeight="1">
      <x:c r="A63" s="113" t="str">
        <x:v>FR-CAT-010</x:v>
      </x:c>
      <x:c r="B63" s="85" t="str">
        <x:v>Функциональное</x:v>
      </x:c>
      <x:c r="C63" s="85" t="str">
        <x:v>Группа добавок связывается с категорией и применяется к товарам этой категории.</x:v>
      </x:c>
      <x:c r="D63" s="85" t="str">
        <x:v>E02, E05, E06, E12</x:v>
      </x:c>
      <x:c r="E63" s="200" t="n">
        <x:f>IF(F63="",0,LEN(F63)-LEN(SUBSTITUTE(F63,",",""))+1)</x:f>
        <x:v>10</x:v>
      </x:c>
      <x:c r="F63" s="85" t="str">
        <x:v>E02-FO-14, E05-BE-01, E05-BE-02, E05-BE-03, E05-FO-01, E05-FO-03, E05-QA-01, E05-QA-02, E06-BE-06, E12-QA-06</x:v>
      </x:c>
      <x:c r="G63" s="188" t="str">
        <x:f>IF(E63&gt;0,"Покрыто","Пробел")</x:f>
        <x:v>Покрыто</x:v>
      </x:c>
    </x:row>
    <x:row r="64" ht="52" customHeight="1">
      <x:c r="A64" s="113" t="str">
        <x:v>FR-CAT-011</x:v>
      </x:c>
      <x:c r="B64" s="85" t="str">
        <x:v>Функциональное</x:v>
      </x:c>
      <x:c r="C64" s="85" t="str">
        <x:v>Карточка товара проверяет правила выбора добавок до добавления в корзину.</x:v>
      </x:c>
      <x:c r="D64" s="85" t="str">
        <x:v>E02, E05, E12</x:v>
      </x:c>
      <x:c r="E64" s="200" t="n">
        <x:f>IF(F64="",0,LEN(F64)-LEN(SUBSTITUTE(F64,",",""))+1)</x:f>
        <x:v>9</x:v>
      </x:c>
      <x:c r="F64" s="85" t="str">
        <x:v>E02-FO-07, E02-FO-14, E05-BE-02, E05-BE-03, E05-FO-01, E05-FO-03, E05-QA-01, E05-QA-02, E12-QA-06</x:v>
      </x:c>
      <x:c r="G64" s="188" t="str">
        <x:f>IF(E64&gt;0,"Покрыто","Пробел")</x:f>
        <x:v>Покрыто</x:v>
      </x:c>
    </x:row>
    <x:row r="65" ht="52" customHeight="1">
      <x:c r="A65" s="113" t="str">
        <x:v>FR-CAT-012</x:v>
      </x:c>
      <x:c r="B65" s="85" t="str">
        <x:v>Функциональное</x:v>
      </x:c>
      <x:c r="C65" s="85" t="str">
        <x:v>Публичный ответ меню содержит версию данных либо ETag для обновления кэша.</x:v>
      </x:c>
      <x:c r="D65" s="85" t="str">
        <x:v>E02, E05, E12</x:v>
      </x:c>
      <x:c r="E65" s="200" t="n">
        <x:f>IF(F65="",0,LEN(F65)-LEN(SUBSTITUTE(F65,",",""))+1)</x:f>
        <x:v>7</x:v>
      </x:c>
      <x:c r="F65" s="85" t="str">
        <x:v>E02-FO-14, E05-BE-03, E05-BE-04, E05-FO-01, E05-QA-01, E05-QA-02, E12-QA-06</x:v>
      </x:c>
      <x:c r="G65" s="188" t="str">
        <x:f>IF(E65&gt;0,"Покрыто","Пробел")</x:f>
        <x:v>Покрыто</x:v>
      </x:c>
    </x:row>
    <x:row r="66" ht="52" customHeight="1">
      <x:c r="A66" s="113" t="str">
        <x:v>FR-CAT-013</x:v>
      </x:c>
      <x:c r="B66" s="85" t="str">
        <x:v>Функциональное</x:v>
      </x:c>
      <x:c r="C66" s="85" t="str">
        <x:v>Изображение товара поддерживает JPEG, PNG и WebP, размер до 5 МБ.</x:v>
      </x:c>
      <x:c r="D66" s="85" t="str">
        <x:v>E02, E03, E05, E12</x:v>
      </x:c>
      <x:c r="E66" s="200" t="n">
        <x:f>IF(F66="",0,LEN(F66)-LEN(SUBSTITUTE(F66,",",""))+1)</x:f>
        <x:v>8</x:v>
      </x:c>
      <x:c r="F66" s="85" t="str">
        <x:v>E02-FO-14, E03-BO-15, E05-BE-05, E05-FO-01, E05-FO-04, E05-QA-01, E05-QA-02, E12-QA-06</x:v>
      </x:c>
      <x:c r="G66" s="188" t="str">
        <x:f>IF(E66&gt;0,"Покрыто","Пробел")</x:f>
        <x:v>Покрыто</x:v>
      </x:c>
    </x:row>
    <x:row r="67" ht="52" customHeight="1">
      <x:c r="A67" s="113" t="str">
        <x:v>FR-CAT-014</x:v>
      </x:c>
      <x:c r="B67" s="85" t="str">
        <x:v>Функциональное</x:v>
      </x:c>
      <x:c r="C67" s="85" t="str">
        <x:v>Backend сохраняет оптимизированную версию изображения в WebP.</x:v>
      </x:c>
      <x:c r="D67" s="85" t="str">
        <x:v>E02, E05, E12</x:v>
      </x:c>
      <x:c r="E67" s="200" t="n">
        <x:f>IF(F67="",0,LEN(F67)-LEN(SUBSTITUTE(F67,",",""))+1)</x:f>
        <x:v>7</x:v>
      </x:c>
      <x:c r="F67" s="85" t="str">
        <x:v>E02-FO-14, E05-BE-05, E05-FO-01, E05-FO-04, E05-QA-01, E05-QA-02, E12-QA-06</x:v>
      </x:c>
      <x:c r="G67" s="188" t="str">
        <x:f>IF(E67&gt;0,"Покрыто","Пробел")</x:f>
        <x:v>Покрыто</x:v>
      </x:c>
    </x:row>
    <x:row r="68" ht="52" customHeight="1">
      <x:c r="A68" s="113" t="str">
        <x:v>FR-CAT-015</x:v>
      </x:c>
      <x:c r="B68" s="85" t="str">
        <x:v>Функциональное</x:v>
      </x:c>
      <x:c r="C68" s="85" t="str">
        <x:v>Глобальное состояние приёма заказов возвращается вместе с публичными данными.</x:v>
      </x:c>
      <x:c r="D68" s="85" t="str">
        <x:v>E02, E05, E12</x:v>
      </x:c>
      <x:c r="E68" s="200" t="n">
        <x:f>IF(F68="",0,LEN(F68)-LEN(SUBSTITUTE(F68,",",""))+1)</x:f>
        <x:v>7</x:v>
      </x:c>
      <x:c r="F68" s="85" t="str">
        <x:v>E02-FO-14, E05-BE-03, E05-FO-01, E05-FO-02, E05-QA-01, E05-QA-02, E12-QA-06</x:v>
      </x:c>
      <x:c r="G68" s="188" t="str">
        <x:f>IF(E68&gt;0,"Покрыто","Пробел")</x:f>
        <x:v>Покрыто</x:v>
      </x:c>
    </x:row>
    <x:row r="69" ht="52" customHeight="1">
      <x:c r="A69" s="113" t="str">
        <x:v>FR-CART-001</x:v>
      </x:c>
      <x:c r="B69" s="85" t="str">
        <x:v>Функциональное</x:v>
      </x:c>
      <x:c r="C69" s="85" t="str">
        <x:v>Корзина хранится локально в браузере front-office.</x:v>
      </x:c>
      <x:c r="D69" s="85" t="str">
        <x:v>E02, E07, E12</x:v>
      </x:c>
      <x:c r="E69" s="200" t="n">
        <x:f>IF(F69="",0,LEN(F69)-LEN(SUBSTITUTE(F69,",",""))+1)</x:f>
        <x:v>5</x:v>
      </x:c>
      <x:c r="F69" s="85" t="str">
        <x:v>E02-FO-09, E02-FO-15, E07-FO-01, E07-QA-02, E12-QA-06</x:v>
      </x:c>
      <x:c r="G69" s="188" t="str">
        <x:f>IF(E69&gt;0,"Покрыто","Пробел")</x:f>
        <x:v>Покрыто</x:v>
      </x:c>
    </x:row>
    <x:row r="70" ht="52" customHeight="1">
      <x:c r="A70" s="113" t="str">
        <x:v>FR-CART-002</x:v>
      </x:c>
      <x:c r="B70" s="85" t="str">
        <x:v>Функциональное</x:v>
      </x:c>
      <x:c r="C70" s="85" t="str">
        <x:v>Клиент добавляет товар после выбора варианта размера и допустимого набора добавок.</x:v>
      </x:c>
      <x:c r="D70" s="85" t="str">
        <x:v>E02, E07, E12</x:v>
      </x:c>
      <x:c r="E70" s="200" t="n">
        <x:f>IF(F70="",0,LEN(F70)-LEN(SUBSTITUTE(F70,",",""))+1)</x:f>
        <x:v>6</x:v>
      </x:c>
      <x:c r="F70" s="85" t="str">
        <x:v>E02-FO-08, E02-FO-09, E02-FO-15, E07-FO-02, E07-QA-02, E12-QA-06</x:v>
      </x:c>
      <x:c r="G70" s="188" t="str">
        <x:f>IF(E70&gt;0,"Покрыто","Пробел")</x:f>
        <x:v>Покрыто</x:v>
      </x:c>
    </x:row>
    <x:row r="71" ht="52" customHeight="1">
      <x:c r="A71" s="113" t="str">
        <x:v>FR-CART-003</x:v>
      </x:c>
      <x:c r="B71" s="85" t="str">
        <x:v>Функциональное</x:v>
      </x:c>
      <x:c r="C71" s="85" t="str">
        <x:v>Клиент изменяет количество позиции.</x:v>
      </x:c>
      <x:c r="D71" s="85" t="str">
        <x:v>E02, E07, E12</x:v>
      </x:c>
      <x:c r="E71" s="200" t="n">
        <x:f>IF(F71="",0,LEN(F71)-LEN(SUBSTITUTE(F71,",",""))+1)</x:f>
        <x:v>6</x:v>
      </x:c>
      <x:c r="F71" s="85" t="str">
        <x:v>E02-FO-08, E02-FO-09, E02-FO-15, E07-FO-03, E07-QA-02, E12-QA-06</x:v>
      </x:c>
      <x:c r="G71" s="188" t="str">
        <x:f>IF(E71&gt;0,"Покрыто","Пробел")</x:f>
        <x:v>Покрыто</x:v>
      </x:c>
    </x:row>
    <x:row r="72" ht="52" customHeight="1">
      <x:c r="A72" s="113" t="str">
        <x:v>FR-CART-004</x:v>
      </x:c>
      <x:c r="B72" s="85" t="str">
        <x:v>Функциональное</x:v>
      </x:c>
      <x:c r="C72" s="85" t="str">
        <x:v>Клиент удаляет позицию.</x:v>
      </x:c>
      <x:c r="D72" s="85" t="str">
        <x:v>E02, E07, E12</x:v>
      </x:c>
      <x:c r="E72" s="200" t="n">
        <x:f>IF(F72="",0,LEN(F72)-LEN(SUBSTITUTE(F72,",",""))+1)</x:f>
        <x:v>5</x:v>
      </x:c>
      <x:c r="F72" s="85" t="str">
        <x:v>E02-FO-09, E02-FO-15, E07-FO-03, E07-QA-02, E12-QA-06</x:v>
      </x:c>
      <x:c r="G72" s="188" t="str">
        <x:f>IF(E72&gt;0,"Покрыто","Пробел")</x:f>
        <x:v>Покрыто</x:v>
      </x:c>
    </x:row>
    <x:row r="73" ht="52" customHeight="1">
      <x:c r="A73" s="113" t="str">
        <x:v>FR-CART-005</x:v>
      </x:c>
      <x:c r="B73" s="85" t="str">
        <x:v>Функциональное</x:v>
      </x:c>
      <x:c r="C73" s="85" t="str">
        <x:v>Повторное добавление идентичной конфигурации увеличивает количество.</x:v>
      </x:c>
      <x:c r="D73" s="85" t="str">
        <x:v>E02, E07, E12</x:v>
      </x:c>
      <x:c r="E73" s="200" t="n">
        <x:f>IF(F73="",0,LEN(F73)-LEN(SUBSTITUTE(F73,",",""))+1)</x:f>
        <x:v>7</x:v>
      </x:c>
      <x:c r="F73" s="85" t="str">
        <x:v>E02-FO-09, E02-FO-15, E07-FO-01, E07-FO-02, E07-FO-03, E07-QA-02, E12-QA-06</x:v>
      </x:c>
      <x:c r="G73" s="188" t="str">
        <x:f>IF(E73&gt;0,"Покрыто","Пробел")</x:f>
        <x:v>Покрыто</x:v>
      </x:c>
    </x:row>
    <x:row r="74" ht="52" customHeight="1">
      <x:c r="A74" s="113" t="str">
        <x:v>FR-CART-006</x:v>
      </x:c>
      <x:c r="B74" s="85" t="str">
        <x:v>Функциональное</x:v>
      </x:c>
      <x:c r="C74" s="85" t="str">
        <x:v>Корзина показывает цену каждой позиции и общий итог.</x:v>
      </x:c>
      <x:c r="D74" s="85" t="str">
        <x:v>E02, E07, E12</x:v>
      </x:c>
      <x:c r="E74" s="200" t="n">
        <x:f>IF(F74="",0,LEN(F74)-LEN(SUBSTITUTE(F74,",",""))+1)</x:f>
        <x:v>5</x:v>
      </x:c>
      <x:c r="F74" s="85" t="str">
        <x:v>E02-FO-09, E02-FO-15, E07-FO-03, E07-QA-02, E12-QA-06</x:v>
      </x:c>
      <x:c r="G74" s="188" t="str">
        <x:f>IF(E74&gt;0,"Покрыто","Пробел")</x:f>
        <x:v>Покрыто</x:v>
      </x:c>
    </x:row>
    <x:row r="75" ht="52" customHeight="1">
      <x:c r="A75" s="113" t="str">
        <x:v>FR-CART-007</x:v>
      </x:c>
      <x:c r="B75" s="85" t="str">
        <x:v>Функциональное</x:v>
      </x:c>
      <x:c r="C75" s="85" t="str">
        <x:v>Перед оформлением backend выполняет полную проверку товаров, цен и доступности.</x:v>
      </x:c>
      <x:c r="D75" s="85" t="str">
        <x:v>E02, E07, E12</x:v>
      </x:c>
      <x:c r="E75" s="200" t="n">
        <x:f>IF(F75="",0,LEN(F75)-LEN(SUBSTITUTE(F75,",",""))+1)</x:f>
        <x:v>6</x:v>
      </x:c>
      <x:c r="F75" s="85" t="str">
        <x:v>E02-FO-15, E07-BE-02, E07-BE-05, E07-QA-01, E07-QA-02, E12-QA-06</x:v>
      </x:c>
      <x:c r="G75" s="188" t="str">
        <x:f>IF(E75&gt;0,"Покрыто","Пробел")</x:f>
        <x:v>Покрыто</x:v>
      </x:c>
    </x:row>
    <x:row r="76" ht="52" customHeight="1">
      <x:c r="A76" s="113" t="str">
        <x:v>FR-CART-008</x:v>
      </x:c>
      <x:c r="B76" s="85" t="str">
        <x:v>Функциональное</x:v>
      </x:c>
      <x:c r="C76" s="85" t="str">
        <x:v>При изменении цены front-office показывает актуальный итог и запрашивает повторное подтверждение.</x:v>
      </x:c>
      <x:c r="D76" s="85" t="str">
        <x:v>E02, E07, E12</x:v>
      </x:c>
      <x:c r="E76" s="200" t="n">
        <x:f>IF(F76="",0,LEN(F76)-LEN(SUBSTITUTE(F76,",",""))+1)</x:f>
        <x:v>8</x:v>
      </x:c>
      <x:c r="F76" s="85" t="str">
        <x:v>E02-FO-10, E02-FO-15, E07-BE-02, E07-BE-05, E07-FO-06, E07-QA-01, E07-QA-02, E12-QA-06</x:v>
      </x:c>
      <x:c r="G76" s="188" t="str">
        <x:f>IF(E76&gt;0,"Покрыто","Пробел")</x:f>
        <x:v>Покрыто</x:v>
      </x:c>
    </x:row>
    <x:row r="77" ht="52" customHeight="1">
      <x:c r="A77" s="113" t="str">
        <x:v>FR-CART-009</x:v>
      </x:c>
      <x:c r="B77" s="85" t="str">
        <x:v>Функциональное</x:v>
      </x:c>
      <x:c r="C77" s="85" t="str">
        <x:v>При выключенной доступности front-office выделяет затронутые позиции и предлагает обновить корзину.</x:v>
      </x:c>
      <x:c r="D77" s="85" t="str">
        <x:v>E02, E07, E12</x:v>
      </x:c>
      <x:c r="E77" s="200" t="n">
        <x:f>IF(F77="",0,LEN(F77)-LEN(SUBSTITUTE(F77,",",""))+1)</x:f>
        <x:v>8</x:v>
      </x:c>
      <x:c r="F77" s="85" t="str">
        <x:v>E02-FO-10, E02-FO-15, E07-BE-02, E07-BE-05, E07-FO-07, E07-QA-01, E07-QA-02, E12-QA-06</x:v>
      </x:c>
      <x:c r="G77" s="188" t="str">
        <x:f>IF(E77&gt;0,"Покрыто","Пробел")</x:f>
        <x:v>Покрыто</x:v>
      </x:c>
    </x:row>
    <x:row r="78" ht="52" customHeight="1">
      <x:c r="A78" s="113" t="str">
        <x:v>FR-CART-010</x:v>
      </x:c>
      <x:c r="B78" s="85" t="str">
        <x:v>Функциональное</x:v>
      </x:c>
      <x:c r="C78" s="85" t="str">
        <x:v>Максимальное количество одной конфигурации задаётся серверной настройкой, значение по умолчанию — 20.</x:v>
      </x:c>
      <x:c r="D78" s="85" t="str">
        <x:v>E02, E07, E12</x:v>
      </x:c>
      <x:c r="E78" s="200" t="n">
        <x:f>IF(F78="",0,LEN(F78)-LEN(SUBSTITUTE(F78,",",""))+1)</x:f>
        <x:v>5</x:v>
      </x:c>
      <x:c r="F78" s="85" t="str">
        <x:v>E02-FO-15, E07-BE-02, E07-QA-01, E07-QA-02, E12-QA-06</x:v>
      </x:c>
      <x:c r="G78" s="188" t="str">
        <x:f>IF(E78&gt;0,"Покрыто","Пробел")</x:f>
        <x:v>Покрыто</x:v>
      </x:c>
    </x:row>
    <x:row r="79" ht="52" customHeight="1">
      <x:c r="A79" s="113" t="str">
        <x:v>FR-ORD-001</x:v>
      </x:c>
      <x:c r="B79" s="85" t="str">
        <x:v>Функциональное</x:v>
      </x:c>
      <x:c r="C79" s="85" t="str">
        <x:v>Авторизованный customer создаёт заказ из подтверждённой корзины.</x:v>
      </x:c>
      <x:c r="D79" s="85" t="str">
        <x:v>E07, E12</x:v>
      </x:c>
      <x:c r="E79" s="200" t="n">
        <x:f>IF(F79="",0,LEN(F79)-LEN(SUBSTITUTE(F79,",",""))+1)</x:f>
        <x:v>8</x:v>
      </x:c>
      <x:c r="F79" s="85" t="str">
        <x:v>E07-BE-01, E07-BE-04, E07-FO-04, E07-FO-05, E07-FO-08, E07-QA-01, E07-QA-02, E12-QA-06</x:v>
      </x:c>
      <x:c r="G79" s="188" t="str">
        <x:f>IF(E79&gt;0,"Покрыто","Пробел")</x:f>
        <x:v>Покрыто</x:v>
      </x:c>
    </x:row>
    <x:row r="80" ht="52" customHeight="1">
      <x:c r="A80" s="113" t="str">
        <x:v>FR-ORD-002</x:v>
      </x:c>
      <x:c r="B80" s="85" t="str">
        <x:v>Функциональное</x:v>
      </x:c>
      <x:c r="C80" s="85" t="str">
        <x:v>Запрос создания содержит ключ идемпотентности.</x:v>
      </x:c>
      <x:c r="D80" s="85" t="str">
        <x:v>E07, E12</x:v>
      </x:c>
      <x:c r="E80" s="200" t="n">
        <x:f>IF(F80="",0,LEN(F80)-LEN(SUBSTITUTE(F80,",",""))+1)</x:f>
        <x:v>7</x:v>
      </x:c>
      <x:c r="F80" s="85" t="str">
        <x:v>E07-BE-01, E07-BE-04, E07-FO-05, E07-FO-08, E07-QA-01, E07-QA-02, E12-QA-06</x:v>
      </x:c>
      <x:c r="G80" s="188" t="str">
        <x:f>IF(E80&gt;0,"Покрыто","Пробел")</x:f>
        <x:v>Покрыто</x:v>
      </x:c>
    </x:row>
    <x:row r="81" ht="52" customHeight="1">
      <x:c r="A81" s="113" t="str">
        <x:v>FR-ORD-003</x:v>
      </x:c>
      <x:c r="B81" s="85" t="str">
        <x:v>Функциональное</x:v>
      </x:c>
      <x:c r="C81" s="85" t="str">
        <x:v>Повтор запроса с тем же ключом возвращает ранее созданный заказ.</x:v>
      </x:c>
      <x:c r="D81" s="85" t="str">
        <x:v>E07, E12</x:v>
      </x:c>
      <x:c r="E81" s="200" t="n">
        <x:f>IF(F81="",0,LEN(F81)-LEN(SUBSTITUTE(F81,",",""))+1)</x:f>
        <x:v>7</x:v>
      </x:c>
      <x:c r="F81" s="85" t="str">
        <x:v>E07-BE-01, E07-BE-04, E07-FO-05, E07-FO-08, E07-QA-01, E07-QA-02, E12-QA-06</x:v>
      </x:c>
      <x:c r="G81" s="188" t="str">
        <x:f>IF(E81&gt;0,"Покрыто","Пробел")</x:f>
        <x:v>Покрыто</x:v>
      </x:c>
    </x:row>
    <x:row r="82" ht="52" customHeight="1">
      <x:c r="A82" s="113" t="str">
        <x:v>FR-ORD-004</x:v>
      </x:c>
      <x:c r="B82" s="85" t="str">
        <x:v>Функциональное</x:v>
      </x:c>
      <x:c r="C82" s="85" t="str">
        <x:v>Заказ получает человекочитаемый номер формата `YYYYMMDD-NNN`.</x:v>
      </x:c>
      <x:c r="D82" s="85" t="str">
        <x:v>E07, E12</x:v>
      </x:c>
      <x:c r="E82" s="200" t="n">
        <x:f>IF(F82="",0,LEN(F82)-LEN(SUBSTITUTE(F82,",",""))+1)</x:f>
        <x:v>8</x:v>
      </x:c>
      <x:c r="F82" s="85" t="str">
        <x:v>E07-BE-01, E07-BE-03, E07-BE-04, E07-FO-05, E07-FO-08, E07-QA-01, E07-QA-02, E12-QA-06</x:v>
      </x:c>
      <x:c r="G82" s="188" t="str">
        <x:f>IF(E82&gt;0,"Покрыто","Пробел")</x:f>
        <x:v>Покрыто</x:v>
      </x:c>
    </x:row>
    <x:row r="83" ht="52" customHeight="1">
      <x:c r="A83" s="113" t="str">
        <x:v>FR-ORD-005</x:v>
      </x:c>
      <x:c r="B83" s="85" t="str">
        <x:v>Функциональное</x:v>
      </x:c>
      <x:c r="C83" s="85" t="str">
        <x:v>Начальная стадия заказа — `Оформлен`.</x:v>
      </x:c>
      <x:c r="D83" s="85" t="str">
        <x:v>E03, E07, E12</x:v>
      </x:c>
      <x:c r="E83" s="200" t="n">
        <x:f>IF(F83="",0,LEN(F83)-LEN(SUBSTITUTE(F83,",",""))+1)</x:f>
        <x:v>8</x:v>
      </x:c>
      <x:c r="F83" s="85" t="str">
        <x:v>E03-BO-04, E07-BE-01, E07-BE-04, E07-FO-05, E07-FO-08, E07-QA-01, E07-QA-02, E12-QA-06</x:v>
      </x:c>
      <x:c r="G83" s="188" t="str">
        <x:f>IF(E83&gt;0,"Покрыто","Пробел")</x:f>
        <x:v>Покрыто</x:v>
      </x:c>
    </x:row>
    <x:row r="84" ht="52" customHeight="1">
      <x:c r="A84" s="113" t="str">
        <x:v>FR-ORD-006</x:v>
      </x:c>
      <x:c r="B84" s="85" t="str">
        <x:v>Функциональное</x:v>
      </x:c>
      <x:c r="C84" s="85" t="str">
        <x:v>Начальный статус оплаты — `К оплате`.</x:v>
      </x:c>
      <x:c r="D84" s="85" t="str">
        <x:v>E03, E07, E12</x:v>
      </x:c>
      <x:c r="E84" s="200" t="n">
        <x:f>IF(F84="",0,LEN(F84)-LEN(SUBSTITUTE(F84,",",""))+1)</x:f>
        <x:v>8</x:v>
      </x:c>
      <x:c r="F84" s="85" t="str">
        <x:v>E03-BO-04, E07-BE-01, E07-BE-04, E07-FO-05, E07-FO-08, E07-QA-01, E07-QA-02, E12-QA-06</x:v>
      </x:c>
      <x:c r="G84" s="188" t="str">
        <x:f>IF(E84&gt;0,"Покрыто","Пробел")</x:f>
        <x:v>Покрыто</x:v>
      </x:c>
    </x:row>
    <x:row r="85" ht="52" customHeight="1">
      <x:c r="A85" s="113" t="str">
        <x:v>FR-ORD-007</x:v>
      </x:c>
      <x:c r="B85" s="85" t="str">
        <x:v>Функциональное</x:v>
      </x:c>
      <x:c r="C85" s="85" t="str">
        <x:v>Заказ содержит снимки товара, размера, добавок, количества и цен.</x:v>
      </x:c>
      <x:c r="D85" s="85" t="str">
        <x:v>E07, E12</x:v>
      </x:c>
      <x:c r="E85" s="200" t="n">
        <x:f>IF(F85="",0,LEN(F85)-LEN(SUBSTITUTE(F85,",",""))+1)</x:f>
        <x:v>7</x:v>
      </x:c>
      <x:c r="F85" s="85" t="str">
        <x:v>E07-BE-01, E07-BE-04, E07-FO-05, E07-FO-08, E07-QA-01, E07-QA-02, E12-QA-06</x:v>
      </x:c>
      <x:c r="G85" s="188" t="str">
        <x:f>IF(E85&gt;0,"Покрыто","Пробел")</x:f>
        <x:v>Покрыто</x:v>
      </x:c>
    </x:row>
    <x:row r="86" ht="52" customHeight="1">
      <x:c r="A86" s="113" t="str">
        <x:v>FR-ORD-008</x:v>
      </x:c>
      <x:c r="B86" s="85" t="str">
        <x:v>Функциональное</x:v>
      </x:c>
      <x:c r="C86" s="85" t="str">
        <x:v>Заказ содержит итоговую сумму в копейках.</x:v>
      </x:c>
      <x:c r="D86" s="85" t="str">
        <x:v>E07, E12</x:v>
      </x:c>
      <x:c r="E86" s="200" t="n">
        <x:f>IF(F86="",0,LEN(F86)-LEN(SUBSTITUTE(F86,",",""))+1)</x:f>
        <x:v>7</x:v>
      </x:c>
      <x:c r="F86" s="85" t="str">
        <x:v>E07-BE-01, E07-BE-04, E07-FO-05, E07-FO-08, E07-QA-01, E07-QA-02, E12-QA-06</x:v>
      </x:c>
      <x:c r="G86" s="188" t="str">
        <x:f>IF(E86&gt;0,"Покрыто","Пробел")</x:f>
        <x:v>Покрыто</x:v>
      </x:c>
    </x:row>
    <x:row r="87" ht="52" customHeight="1">
      <x:c r="A87" s="113" t="str">
        <x:v>FR-ORD-009</x:v>
      </x:c>
      <x:c r="B87" s="85" t="str">
        <x:v>Функциональное</x:v>
      </x:c>
      <x:c r="C87" s="85" t="str">
        <x:v>Back-office показывает очередь с фильтрами по стадии и поиском по номеру.</x:v>
      </x:c>
      <x:c r="D87" s="85" t="str">
        <x:v>E03, E08, E12</x:v>
      </x:c>
      <x:c r="E87" s="200" t="n">
        <x:f>IF(F87="",0,LEN(F87)-LEN(SUBSTITUTE(F87,",",""))+1)</x:f>
        <x:v>9</x:v>
      </x:c>
      <x:c r="F87" s="85" t="str">
        <x:v>E03-BO-05, E03-BO-06, E03-BO-16, E08-BE-03, E08-BO-01, E08-BO-02, E08-QA-01, E08-QA-02, E12-QA-06</x:v>
      </x:c>
      <x:c r="G87" s="188" t="str">
        <x:f>IF(E87&gt;0,"Покрыто","Пробел")</x:f>
        <x:v>Покрыто</x:v>
      </x:c>
    </x:row>
    <x:row r="88" ht="52" customHeight="1">
      <x:c r="A88" s="113" t="str">
        <x:v>FR-ORD-010</x:v>
      </x:c>
      <x:c r="B88" s="85" t="str">
        <x:v>Функциональное</x:v>
      </x:c>
      <x:c r="C88" s="85" t="str">
        <x:v>Карточка заказа показывает состав, суммы, время, клиента и журнал событий.</x:v>
      </x:c>
      <x:c r="D88" s="85" t="str">
        <x:v>E03, E08, E12</x:v>
      </x:c>
      <x:c r="E88" s="200" t="n">
        <x:f>IF(F88="",0,LEN(F88)-LEN(SUBSTITUTE(F88,",",""))+1)</x:f>
        <x:v>8</x:v>
      </x:c>
      <x:c r="F88" s="85" t="str">
        <x:v>E03-BO-07, E03-BO-16, E08-BE-04, E08-BO-01, E08-BO-03, E08-QA-01, E08-QA-02, E12-QA-06</x:v>
      </x:c>
      <x:c r="G88" s="188" t="str">
        <x:f>IF(E88&gt;0,"Покрыто","Пробел")</x:f>
        <x:v>Покрыто</x:v>
      </x:c>
    </x:row>
    <x:row r="89" ht="52" customHeight="1">
      <x:c r="A89" s="113" t="str">
        <x:v>FR-ORD-011</x:v>
      </x:c>
      <x:c r="B89" s="85" t="str">
        <x:v>Функциональное</x:v>
      </x:c>
      <x:c r="C89" s="85" t="str">
        <x:v>Barista и administrator переводят заказ по разрешённым переходам.</x:v>
      </x:c>
      <x:c r="D89" s="85" t="str">
        <x:v>E03, E08, E09, E12</x:v>
      </x:c>
      <x:c r="E89" s="200" t="n">
        <x:f>IF(F89="",0,LEN(F89)-LEN(SUBSTITUTE(F89,",",""))+1)</x:f>
        <x:v>12</x:v>
      </x:c>
      <x:c r="F89" s="85" t="str">
        <x:v>E03-BO-08, E03-BO-16, E08-BE-01, E08-BE-05, E08-BO-01, E08-BO-04, E08-BO-05, E08-BO-06, E08-QA-01, E08-QA-02, E09-BE-03, E12-QA-06</x:v>
      </x:c>
      <x:c r="G89" s="188" t="str">
        <x:f>IF(E89&gt;0,"Покрыто","Пробел")</x:f>
        <x:v>Покрыто</x:v>
      </x:c>
    </x:row>
    <x:row r="90" ht="52" customHeight="1">
      <x:c r="A90" s="113" t="str">
        <x:v>FR-ORD-012</x:v>
      </x:c>
      <x:c r="B90" s="85" t="str">
        <x:v>Функциональное</x:v>
      </x:c>
      <x:c r="C90" s="85" t="str">
        <x:v>Каждый переход содержит автора, время, предыдущую и новую стадию.</x:v>
      </x:c>
      <x:c r="D90" s="85" t="str">
        <x:v>E03, E08, E09, E12</x:v>
      </x:c>
      <x:c r="E90" s="200" t="n">
        <x:f>IF(F90="",0,LEN(F90)-LEN(SUBSTITUTE(F90,",",""))+1)</x:f>
        <x:v>14</x:v>
      </x:c>
      <x:c r="F90" s="85" t="str">
        <x:v>E03-BO-07, E03-BO-16, E08-BE-01, E08-BE-02, E08-BE-05, E08-BO-01, E08-BO-03, E08-BO-04, E08-BO-05, E08-BO-06, E08-QA-01, E08-QA-02, E09-BE-03, E12-QA-06</x:v>
      </x:c>
      <x:c r="G90" s="188" t="str">
        <x:f>IF(E90&gt;0,"Покрыто","Пробел")</x:f>
        <x:v>Покрыто</x:v>
      </x:c>
    </x:row>
    <x:row r="91" ht="52" customHeight="1">
      <x:c r="A91" s="113" t="str">
        <x:v>FR-ORD-013</x:v>
      </x:c>
      <x:c r="B91" s="85" t="str">
        <x:v>Функциональное</x:v>
      </x:c>
      <x:c r="C91" s="85" t="str">
        <x:v>Параллельные действия защищаются версией записи и ответом `409 Conflict` при расхождении.</x:v>
      </x:c>
      <x:c r="D91" s="85" t="str">
        <x:v>E03, E08, E09, E12</x:v>
      </x:c>
      <x:c r="E91" s="200" t="n">
        <x:f>IF(F91="",0,LEN(F91)-LEN(SUBSTITUTE(F91,",",""))+1)</x:f>
        <x:v>12</x:v>
      </x:c>
      <x:c r="F91" s="85" t="str">
        <x:v>E03-BO-16, E08-BE-01, E08-BE-05, E08-BO-01, E08-BO-04, E08-BO-05, E08-BO-06, E08-BO-08, E08-QA-01, E08-QA-02, E09-BE-03, E12-QA-06</x:v>
      </x:c>
      <x:c r="G91" s="188" t="str">
        <x:f>IF(E91&gt;0,"Покрыто","Пробел")</x:f>
        <x:v>Покрыто</x:v>
      </x:c>
    </x:row>
    <x:row r="92" ht="52" customHeight="1">
      <x:c r="A92" s="113" t="str">
        <x:v>FR-ORD-014</x:v>
      </x:c>
      <x:c r="B92" s="85" t="str">
        <x:v>Функциональное</x:v>
      </x:c>
      <x:c r="C92" s="85" t="str">
        <x:v>Back-office обновляет очередь опросом API с интервалом до 5 секунд.</x:v>
      </x:c>
      <x:c r="D92" s="85" t="str">
        <x:v>E03, E08, E12</x:v>
      </x:c>
      <x:c r="E92" s="200" t="n">
        <x:f>IF(F92="",0,LEN(F92)-LEN(SUBSTITUTE(F92,",",""))+1)</x:f>
        <x:v>7</x:v>
      </x:c>
      <x:c r="F92" s="85" t="str">
        <x:v>E03-BO-16, E08-BE-06, E08-BO-01, E08-BO-07, E08-QA-01, E08-QA-02, E12-QA-06</x:v>
      </x:c>
      <x:c r="G92" s="188" t="str">
        <x:f>IF(E92&gt;0,"Покрыто","Пробел")</x:f>
        <x:v>Покрыто</x:v>
      </x:c>
    </x:row>
    <x:row r="93" ht="52" customHeight="1">
      <x:c r="A93" s="113" t="str">
        <x:v>FR-ORD-015</x:v>
      </x:c>
      <x:c r="B93" s="85" t="str">
        <x:v>Функциональное</x:v>
      </x:c>
      <x:c r="C93" s="85" t="str">
        <x:v>Front-office обновляет текущий заказ опросом API с интервалом до 10 секунд.</x:v>
      </x:c>
      <x:c r="D93" s="85" t="str">
        <x:v>E03, E08, E12</x:v>
      </x:c>
      <x:c r="E93" s="200" t="n">
        <x:f>IF(F93="",0,LEN(F93)-LEN(SUBSTITUTE(F93,",",""))+1)</x:f>
        <x:v>5</x:v>
      </x:c>
      <x:c r="F93" s="85" t="str">
        <x:v>E03-BO-16, E08-BO-01, E08-QA-01, E08-QA-02, E12-QA-06</x:v>
      </x:c>
      <x:c r="G93" s="188" t="str">
        <x:f>IF(E93&gt;0,"Покрыто","Пробел")</x:f>
        <x:v>Покрыто</x:v>
      </x:c>
    </x:row>
    <x:row r="94" ht="52" customHeight="1">
      <x:c r="A94" s="113" t="str">
        <x:v>FR-ORD-016</x:v>
      </x:c>
      <x:c r="B94" s="85" t="str">
        <x:v>Функциональное</x:v>
      </x:c>
      <x:c r="C94" s="85" t="str">
        <x:v>Страница заказа показывает текущую стадию, статус оплаты, состав и сумму.</x:v>
      </x:c>
      <x:c r="D94" s="85" t="str">
        <x:v>E02, E12</x:v>
      </x:c>
      <x:c r="E94" s="200" t="n">
        <x:f>IF(F94="",0,LEN(F94)-LEN(SUBSTITUTE(F94,",",""))+1)</x:f>
        <x:v>2</x:v>
      </x:c>
      <x:c r="F94" s="85" t="str">
        <x:v>E02-FO-11, E12-QA-06</x:v>
      </x:c>
      <x:c r="G94" s="188" t="str">
        <x:f>IF(E94&gt;0,"Покрыто","Пробел")</x:f>
        <x:v>Покрыто</x:v>
      </x:c>
    </x:row>
    <x:row r="95" ht="52" customHeight="1">
      <x:c r="A95" s="113" t="str">
        <x:v>FR-PAY-001</x:v>
      </x:c>
      <x:c r="B95" s="85" t="str">
        <x:v>Функциональное</x:v>
      </x:c>
      <x:c r="C95" s="85" t="str">
        <x:v>Back-office показывает статус `К оплате` до ручного подтверждения.</x:v>
      </x:c>
      <x:c r="D95" s="85" t="str">
        <x:v>E09, E12</x:v>
      </x:c>
      <x:c r="E95" s="200" t="n">
        <x:f>IF(F95="",0,LEN(F95)-LEN(SUBSTITUTE(F95,",",""))+1)</x:f>
        <x:v>6</x:v>
      </x:c>
      <x:c r="F95" s="85" t="str">
        <x:v>E09-BE-01, E09-BO-01, E09-FO-01, E09-QA-01, E09-QA-02, E12-QA-06</x:v>
      </x:c>
      <x:c r="G95" s="188" t="str">
        <x:f>IF(E95&gt;0,"Покрыто","Пробел")</x:f>
        <x:v>Покрыто</x:v>
      </x:c>
    </x:row>
    <x:row r="96" ht="52" customHeight="1">
      <x:c r="A96" s="113" t="str">
        <x:v>FR-PAY-002</x:v>
      </x:c>
      <x:c r="B96" s="85" t="str">
        <x:v>Функциональное</x:v>
      </x:c>
      <x:c r="C96" s="85" t="str">
        <x:v>Действие `Оплата получена` доступно сотруднику для заказа на стадии `Готов`.</x:v>
      </x:c>
      <x:c r="D96" s="85" t="str">
        <x:v>E03, E09, E12</x:v>
      </x:c>
      <x:c r="E96" s="200" t="n">
        <x:f>IF(F96="",0,LEN(F96)-LEN(SUBSTITUTE(F96,",",""))+1)</x:f>
        <x:v>7</x:v>
      </x:c>
      <x:c r="F96" s="85" t="str">
        <x:v>E03-BO-08, E09-BE-01, E09-BE-02, E09-BO-02, E09-QA-01, E09-QA-02, E12-QA-06</x:v>
      </x:c>
      <x:c r="G96" s="188" t="str">
        <x:f>IF(E96&gt;0,"Покрыто","Пробел")</x:f>
        <x:v>Покрыто</x:v>
      </x:c>
    </x:row>
    <x:row r="97" ht="52" customHeight="1">
      <x:c r="A97" s="113" t="str">
        <x:v>FR-PAY-003</x:v>
      </x:c>
      <x:c r="B97" s="85" t="str">
        <x:v>Функциональное</x:v>
      </x:c>
      <x:c r="C97" s="85" t="str">
        <x:v>Подтверждение оплаты переводит статус в `Оплачен`.</x:v>
      </x:c>
      <x:c r="D97" s="85" t="str">
        <x:v>E03, E09, E12</x:v>
      </x:c>
      <x:c r="E97" s="200" t="n">
        <x:f>IF(F97="",0,LEN(F97)-LEN(SUBSTITUTE(F97,",",""))+1)</x:f>
        <x:v>7</x:v>
      </x:c>
      <x:c r="F97" s="85" t="str">
        <x:v>E03-BO-08, E09-BE-01, E09-BE-02, E09-BO-02, E09-QA-01, E09-QA-02, E12-QA-06</x:v>
      </x:c>
      <x:c r="G97" s="188" t="str">
        <x:f>IF(E97&gt;0,"Покрыто","Пробел")</x:f>
        <x:v>Покрыто</x:v>
      </x:c>
    </x:row>
    <x:row r="98" ht="52" customHeight="1">
      <x:c r="A98" s="113" t="str">
        <x:v>FR-PAY-004</x:v>
      </x:c>
      <x:c r="B98" s="85" t="str">
        <x:v>Функциональное</x:v>
      </x:c>
      <x:c r="C98" s="85" t="str">
        <x:v>Событие оплаты хранит сотрудника и время.</x:v>
      </x:c>
      <x:c r="D98" s="85" t="str">
        <x:v>E03, E09, E12</x:v>
      </x:c>
      <x:c r="E98" s="200" t="n">
        <x:f>IF(F98="",0,LEN(F98)-LEN(SUBSTITUTE(F98,",",""))+1)</x:f>
        <x:v>7</x:v>
      </x:c>
      <x:c r="F98" s="85" t="str">
        <x:v>E03-BO-08, E09-BE-01, E09-BE-02, E09-BO-02, E09-QA-01, E09-QA-02, E12-QA-06</x:v>
      </x:c>
      <x:c r="G98" s="188" t="str">
        <x:f>IF(E98&gt;0,"Покрыто","Пробел")</x:f>
        <x:v>Покрыто</x:v>
      </x:c>
    </x:row>
    <x:row r="99" ht="52" customHeight="1">
      <x:c r="A99" s="113" t="str">
        <x:v>FR-PAY-005</x:v>
      </x:c>
      <x:c r="B99" s="85" t="str">
        <x:v>Функциональное</x:v>
      </x:c>
      <x:c r="C99" s="85" t="str">
        <x:v>Действие `Выдать` доступно при сочетании `Готов` и `Оплачен`.</x:v>
      </x:c>
      <x:c r="D99" s="85" t="str">
        <x:v>E03, E09, E12</x:v>
      </x:c>
      <x:c r="E99" s="200" t="n">
        <x:f>IF(F99="",0,LEN(F99)-LEN(SUBSTITUTE(F99,",",""))+1)</x:f>
        <x:v>7</x:v>
      </x:c>
      <x:c r="F99" s="85" t="str">
        <x:v>E03-BO-08, E09-BE-01, E09-BE-03, E09-BO-03, E09-QA-01, E09-QA-02, E12-QA-06</x:v>
      </x:c>
      <x:c r="G99" s="188" t="str">
        <x:f>IF(E99&gt;0,"Покрыто","Пробел")</x:f>
        <x:v>Покрыто</x:v>
      </x:c>
    </x:row>
    <x:row r="100" ht="52" customHeight="1">
      <x:c r="A100" s="113" t="str">
        <x:v>FR-PAY-006</x:v>
      </x:c>
      <x:c r="B100" s="85" t="str">
        <x:v>Функциональное</x:v>
      </x:c>
      <x:c r="C100" s="85" t="str">
        <x:v>Front-office показывает текст `Оплата на кассе при получении` до оплаты.</x:v>
      </x:c>
      <x:c r="D100" s="85" t="str">
        <x:v>E02, E09, E12</x:v>
      </x:c>
      <x:c r="E100" s="200" t="n">
        <x:f>IF(F100="",0,LEN(F100)-LEN(SUBSTITUTE(F100,",",""))+1)</x:f>
        <x:v>5</x:v>
      </x:c>
      <x:c r="F100" s="85" t="str">
        <x:v>E02-FO-11, E09-FO-01, E09-QA-01, E09-QA-02, E12-QA-06</x:v>
      </x:c>
      <x:c r="G100" s="188" t="str">
        <x:f>IF(E100&gt;0,"Покрыто","Пробел")</x:f>
        <x:v>Покрыто</x:v>
      </x:c>
    </x:row>
    <x:row r="101" ht="52" customHeight="1">
      <x:c r="A101" s="113" t="str">
        <x:v>FR-PAY-007</x:v>
      </x:c>
      <x:c r="B101" s="85" t="str">
        <x:v>Функциональное</x:v>
      </x:c>
      <x:c r="C101" s="85" t="str">
        <x:v>Программная кассовая операция остаётся в контуре Эвотора.</x:v>
      </x:c>
      <x:c r="D101" s="85" t="str">
        <x:v>E09, E12</x:v>
      </x:c>
      <x:c r="E101" s="200" t="n">
        <x:f>IF(F101="",0,LEN(F101)-LEN(SUBSTITUTE(F101,",",""))+1)</x:f>
        <x:v>4</x:v>
      </x:c>
      <x:c r="F101" s="85" t="str">
        <x:v>E09-FO-01, E09-QA-01, E09-QA-02, E12-QA-06</x:v>
      </x:c>
      <x:c r="G101" s="188" t="str">
        <x:f>IF(E101&gt;0,"Покрыто","Пробел")</x:f>
        <x:v>Покрыто</x:v>
      </x:c>
    </x:row>
    <x:row r="102" ht="52" customHeight="1">
      <x:c r="A102" s="113" t="str">
        <x:v>FR-HIST-001</x:v>
      </x:c>
      <x:c r="B102" s="85" t="str">
        <x:v>Функциональное</x:v>
      </x:c>
      <x:c r="C102" s="85" t="str">
        <x:v>Customer видит список собственных заказов.</x:v>
      </x:c>
      <x:c r="D102" s="85" t="str">
        <x:v>E02, E10, E12</x:v>
      </x:c>
      <x:c r="E102" s="200" t="n">
        <x:f>IF(F102="",0,LEN(F102)-LEN(SUBSTITUTE(F102,",",""))+1)</x:f>
        <x:v>9</x:v>
      </x:c>
      <x:c r="F102" s="85" t="str">
        <x:v>E02-FO-12, E02-FO-17, E10-BE-01, E10-BE-03, E10-FO-01, E10-FO-02, E10-QA-01, E10-QA-02, E12-QA-06</x:v>
      </x:c>
      <x:c r="G102" s="188" t="str">
        <x:f>IF(E102&gt;0,"Покрыто","Пробел")</x:f>
        <x:v>Покрыто</x:v>
      </x:c>
    </x:row>
    <x:row r="103" ht="52" customHeight="1">
      <x:c r="A103" s="113" t="str">
        <x:v>FR-HIST-002</x:v>
      </x:c>
      <x:c r="B103" s="85" t="str">
        <x:v>Функциональное</x:v>
      </x:c>
      <x:c r="C103" s="85" t="str">
        <x:v>Список сортируется от нового к старому.</x:v>
      </x:c>
      <x:c r="D103" s="85" t="str">
        <x:v>E02, E10, E12</x:v>
      </x:c>
      <x:c r="E103" s="200" t="n">
        <x:f>IF(F103="",0,LEN(F103)-LEN(SUBSTITUTE(F103,",",""))+1)</x:f>
        <x:v>8</x:v>
      </x:c>
      <x:c r="F103" s="85" t="str">
        <x:v>E02-FO-12, E02-FO-17, E10-BE-02, E10-FO-01, E10-FO-03, E10-QA-01, E10-QA-02, E12-QA-06</x:v>
      </x:c>
      <x:c r="G103" s="188" t="str">
        <x:f>IF(E103&gt;0,"Покрыто","Пробел")</x:f>
        <x:v>Покрыто</x:v>
      </x:c>
    </x:row>
    <x:row r="104" ht="52" customHeight="1">
      <x:c r="A104" s="113" t="str">
        <x:v>FR-HIST-003</x:v>
      </x:c>
      <x:c r="B104" s="85" t="str">
        <x:v>Функциональное</x:v>
      </x:c>
      <x:c r="C104" s="85" t="str">
        <x:v>Список использует курсорную пагинацию.</x:v>
      </x:c>
      <x:c r="D104" s="85" t="str">
        <x:v>E02, E10, E12</x:v>
      </x:c>
      <x:c r="E104" s="200" t="n">
        <x:f>IF(F104="",0,LEN(F104)-LEN(SUBSTITUTE(F104,",",""))+1)</x:f>
        <x:v>10</x:v>
      </x:c>
      <x:c r="F104" s="85" t="str">
        <x:v>E02-FO-12, E02-FO-17, E10-BE-01, E10-BE-03, E10-FO-01, E10-FO-02, E10-FO-04, E10-QA-01, E10-QA-02, E12-QA-06</x:v>
      </x:c>
      <x:c r="G104" s="188" t="str">
        <x:f>IF(E104&gt;0,"Покрыто","Пробел")</x:f>
        <x:v>Покрыто</x:v>
      </x:c>
    </x:row>
    <x:row r="105" ht="52" customHeight="1">
      <x:c r="A105" s="113" t="str">
        <x:v>FR-HIST-004</x:v>
      </x:c>
      <x:c r="B105" s="85" t="str">
        <x:v>Функциональное</x:v>
      </x:c>
      <x:c r="C105" s="85" t="str">
        <x:v>Элемент истории показывает номер, дату, сумму, стадию и статус оплаты.</x:v>
      </x:c>
      <x:c r="D105" s="85" t="str">
        <x:v>E02, E10, E12</x:v>
      </x:c>
      <x:c r="E105" s="200" t="n">
        <x:f>IF(F105="",0,LEN(F105)-LEN(SUBSTITUTE(F105,",",""))+1)</x:f>
        <x:v>10</x:v>
      </x:c>
      <x:c r="F105" s="85" t="str">
        <x:v>E02-FO-12, E02-FO-17, E10-BE-01, E10-BE-03, E10-FO-01, E10-FO-02, E10-FO-04, E10-QA-01, E10-QA-02, E12-QA-06</x:v>
      </x:c>
      <x:c r="G105" s="188" t="str">
        <x:f>IF(E105&gt;0,"Покрыто","Пробел")</x:f>
        <x:v>Покрыто</x:v>
      </x:c>
    </x:row>
    <x:row r="106" ht="52" customHeight="1">
      <x:c r="A106" s="113" t="str">
        <x:v>FR-HIST-005</x:v>
      </x:c>
      <x:c r="B106" s="85" t="str">
        <x:v>Функциональное</x:v>
      </x:c>
      <x:c r="C106" s="85" t="str">
        <x:v>Детальная страница показывает сохранённый снимок состава заказа.</x:v>
      </x:c>
      <x:c r="D106" s="85" t="str">
        <x:v>E02, E10, E12</x:v>
      </x:c>
      <x:c r="E106" s="200" t="n">
        <x:f>IF(F106="",0,LEN(F106)-LEN(SUBSTITUTE(F106,",",""))+1)</x:f>
        <x:v>9</x:v>
      </x:c>
      <x:c r="F106" s="85" t="str">
        <x:v>E02-FO-12, E02-FO-17, E10-BE-01, E10-BE-02, E10-FO-01, E10-FO-04, E10-QA-01, E10-QA-02, E12-QA-06</x:v>
      </x:c>
      <x:c r="G106" s="188" t="str">
        <x:f>IF(E106&gt;0,"Покрыто","Пробел")</x:f>
        <x:v>Покрыто</x:v>
      </x:c>
    </x:row>
    <x:row r="107" ht="52" customHeight="1">
      <x:c r="A107" s="113" t="str">
        <x:v>FR-HIST-006</x:v>
      </x:c>
      <x:c r="B107" s="85" t="str">
        <x:v>Функциональное</x:v>
      </x:c>
      <x:c r="C107" s="85" t="str">
        <x:v>Доступ к заказу проверяет принадлежность текущему customer.</x:v>
      </x:c>
      <x:c r="D107" s="85" t="str">
        <x:v>E02, E10, E12</x:v>
      </x:c>
      <x:c r="E107" s="200" t="n">
        <x:f>IF(F107="",0,LEN(F107)-LEN(SUBSTITUTE(F107,",",""))+1)</x:f>
        <x:v>7</x:v>
      </x:c>
      <x:c r="F107" s="85" t="str">
        <x:v>E02-FO-17, E10-BE-02, E10-FO-01, E10-FO-03, E10-QA-01, E10-QA-02, E12-QA-06</x:v>
      </x:c>
      <x:c r="G107" s="188" t="str">
        <x:f>IF(E107&gt;0,"Покрыто","Пробел")</x:f>
        <x:v>Покрыто</x:v>
      </x:c>
    </x:row>
    <x:row r="108" ht="52" customHeight="1">
      <x:c r="A108" s="113" t="str">
        <x:v>FR-ADM-001</x:v>
      </x:c>
      <x:c r="B108" s="85" t="str">
        <x:v>Функциональное</x:v>
      </x:c>
      <x:c r="C108" s="85" t="str">
        <x:v>Administrator создаёт, редактирует, архивирует и упорядочивает категории.</x:v>
      </x:c>
      <x:c r="D108" s="85" t="str">
        <x:v>E03, E06, E12</x:v>
      </x:c>
      <x:c r="E108" s="200" t="n">
        <x:f>IF(F108="",0,LEN(F108)-LEN(SUBSTITUTE(F108,",",""))+1)</x:f>
        <x:v>10</x:v>
      </x:c>
      <x:c r="F108" s="85" t="str">
        <x:v>E03-BO-11, E03-BO-12, E03-BO-17, E06-BE-01, E06-BO-01, E06-BO-02, E06-BO-03, E06-QA-01, E06-QA-02, E12-QA-06</x:v>
      </x:c>
      <x:c r="G108" s="188" t="str">
        <x:f>IF(E108&gt;0,"Покрыто","Пробел")</x:f>
        <x:v>Покрыто</x:v>
      </x:c>
    </x:row>
    <x:row r="109" ht="52" customHeight="1">
      <x:c r="A109" s="113" t="str">
        <x:v>FR-ADM-002</x:v>
      </x:c>
      <x:c r="B109" s="85" t="str">
        <x:v>Функциональное</x:v>
      </x:c>
      <x:c r="C109" s="85" t="str">
        <x:v>Administrator создаёт, редактирует, архивирует и упорядочивает товары.</x:v>
      </x:c>
      <x:c r="D109" s="85" t="str">
        <x:v>E03, E06, E12</x:v>
      </x:c>
      <x:c r="E109" s="200" t="n">
        <x:f>IF(F109="",0,LEN(F109)-LEN(SUBSTITUTE(F109,",",""))+1)</x:f>
        <x:v>10</x:v>
      </x:c>
      <x:c r="F109" s="85" t="str">
        <x:v>E03-BO-11, E03-BO-12, E03-BO-17, E06-BE-02, E06-BO-01, E06-BO-02, E06-BO-04, E06-QA-01, E06-QA-02, E12-QA-06</x:v>
      </x:c>
      <x:c r="G109" s="188" t="str">
        <x:f>IF(E109&gt;0,"Покрыто","Пробел")</x:f>
        <x:v>Покрыто</x:v>
      </x:c>
    </x:row>
    <x:row r="110" ht="52" customHeight="1">
      <x:c r="A110" s="113" t="str">
        <x:v>FR-ADM-003</x:v>
      </x:c>
      <x:c r="B110" s="85" t="str">
        <x:v>Функциональное</x:v>
      </x:c>
      <x:c r="C110" s="85" t="str">
        <x:v>Administrator загружает и заменяет изображение товара.</x:v>
      </x:c>
      <x:c r="D110" s="85" t="str">
        <x:v>E03, E06, E12</x:v>
      </x:c>
      <x:c r="E110" s="200" t="n">
        <x:f>IF(F110="",0,LEN(F110)-LEN(SUBSTITUTE(F110,",",""))+1)</x:f>
        <x:v>9</x:v>
      </x:c>
      <x:c r="F110" s="85" t="str">
        <x:v>E03-BO-12, E03-BO-15, E03-BO-17, E06-BE-02, E06-BO-01, E06-BO-04, E06-QA-01, E06-QA-02, E12-QA-06</x:v>
      </x:c>
      <x:c r="G110" s="188" t="str">
        <x:f>IF(E110&gt;0,"Покрыто","Пробел")</x:f>
        <x:v>Покрыто</x:v>
      </x:c>
    </x:row>
    <x:row r="111" ht="52" customHeight="1">
      <x:c r="A111" s="113" t="str">
        <x:v>FR-ADM-004</x:v>
      </x:c>
      <x:c r="B111" s="85" t="str">
        <x:v>Функциональное</x:v>
      </x:c>
      <x:c r="C111" s="85" t="str">
        <x:v>Administrator управляет вариантами размеров и ценами.</x:v>
      </x:c>
      <x:c r="D111" s="85" t="str">
        <x:v>E03, E06, E12</x:v>
      </x:c>
      <x:c r="E111" s="200" t="n">
        <x:f>IF(F111="",0,LEN(F111)-LEN(SUBSTITUTE(F111,",",""))+1)</x:f>
        <x:v>8</x:v>
      </x:c>
      <x:c r="F111" s="85" t="str">
        <x:v>E03-BO-13, E03-BO-17, E06-BE-03, E06-BO-01, E06-BO-05, E06-QA-01, E06-QA-02, E12-QA-06</x:v>
      </x:c>
      <x:c r="G111" s="188" t="str">
        <x:f>IF(E111&gt;0,"Покрыто","Пробел")</x:f>
        <x:v>Покрыто</x:v>
      </x:c>
    </x:row>
    <x:row r="112" ht="52" customHeight="1">
      <x:c r="A112" s="113" t="str">
        <x:v>FR-ADM-005</x:v>
      </x:c>
      <x:c r="B112" s="85" t="str">
        <x:v>Функциональное</x:v>
      </x:c>
      <x:c r="C112" s="85" t="str">
        <x:v>Administrator управляет группами добавок и правилами выбора.</x:v>
      </x:c>
      <x:c r="D112" s="85" t="str">
        <x:v>E03, E06, E12</x:v>
      </x:c>
      <x:c r="E112" s="200" t="n">
        <x:f>IF(F112="",0,LEN(F112)-LEN(SUBSTITUTE(F112,",",""))+1)</x:f>
        <x:v>8</x:v>
      </x:c>
      <x:c r="F112" s="85" t="str">
        <x:v>E03-BO-14, E03-BO-17, E06-BE-04, E06-BO-01, E06-BO-06, E06-QA-01, E06-QA-02, E12-QA-06</x:v>
      </x:c>
      <x:c r="G112" s="188" t="str">
        <x:f>IF(E112&gt;0,"Покрыто","Пробел")</x:f>
        <x:v>Покрыто</x:v>
      </x:c>
    </x:row>
    <x:row r="113" ht="52" customHeight="1">
      <x:c r="A113" s="113" t="str">
        <x:v>FR-ADM-006</x:v>
      </x:c>
      <x:c r="B113" s="85" t="str">
        <x:v>Функциональное</x:v>
      </x:c>
      <x:c r="C113" s="85" t="str">
        <x:v>Administrator управляет добавками и изменением цены.</x:v>
      </x:c>
      <x:c r="D113" s="85" t="str">
        <x:v>E03, E06, E12</x:v>
      </x:c>
      <x:c r="E113" s="200" t="n">
        <x:f>IF(F113="",0,LEN(F113)-LEN(SUBSTITUTE(F113,",",""))+1)</x:f>
        <x:v>8</x:v>
      </x:c>
      <x:c r="F113" s="85" t="str">
        <x:v>E03-BO-14, E03-BO-17, E06-BE-05, E06-BO-01, E06-BO-06, E06-QA-01, E06-QA-02, E12-QA-06</x:v>
      </x:c>
      <x:c r="G113" s="188" t="str">
        <x:f>IF(E113&gt;0,"Покрыто","Пробел")</x:f>
        <x:v>Покрыто</x:v>
      </x:c>
    </x:row>
    <x:row r="114" ht="52" customHeight="1">
      <x:c r="A114" s="113" t="str">
        <x:v>FR-ADM-007</x:v>
      </x:c>
      <x:c r="B114" s="85" t="str">
        <x:v>Функциональное</x:v>
      </x:c>
      <x:c r="C114" s="85" t="str">
        <x:v>Administrator связывает группы добавок с категориями.</x:v>
      </x:c>
      <x:c r="D114" s="85" t="str">
        <x:v>E03, E06, E12</x:v>
      </x:c>
      <x:c r="E114" s="200" t="n">
        <x:f>IF(F114="",0,LEN(F114)-LEN(SUBSTITUTE(F114,",",""))+1)</x:f>
        <x:v>8</x:v>
      </x:c>
      <x:c r="F114" s="85" t="str">
        <x:v>E03-BO-14, E03-BO-17, E06-BE-06, E06-BO-01, E06-BO-07, E06-QA-01, E06-QA-02, E12-QA-06</x:v>
      </x:c>
      <x:c r="G114" s="188" t="str">
        <x:f>IF(E114&gt;0,"Покрыто","Пробел")</x:f>
        <x:v>Покрыто</x:v>
      </x:c>
    </x:row>
    <x:row r="115" ht="52" customHeight="1">
      <x:c r="A115" s="113" t="str">
        <x:v>FR-ADM-008</x:v>
      </x:c>
      <x:c r="B115" s="85" t="str">
        <x:v>Функциональное</x:v>
      </x:c>
      <x:c r="C115" s="85" t="str">
        <x:v>Backend проверяет уникальность порядка и целостность связей.</x:v>
      </x:c>
      <x:c r="D115" s="85" t="str">
        <x:v>E03, E06, E12</x:v>
      </x:c>
      <x:c r="E115" s="200" t="n">
        <x:f>IF(F115="",0,LEN(F115)-LEN(SUBSTITUTE(F115,",",""))+1)</x:f>
        <x:v>5</x:v>
      </x:c>
      <x:c r="F115" s="85" t="str">
        <x:v>E03-BO-17, E06-BO-01, E06-QA-01, E06-QA-02, E12-QA-06</x:v>
      </x:c>
      <x:c r="G115" s="188" t="str">
        <x:f>IF(E115&gt;0,"Покрыто","Пробел")</x:f>
        <x:v>Покрыто</x:v>
      </x:c>
    </x:row>
    <x:row r="116" ht="52" customHeight="1">
      <x:c r="A116" s="113" t="str">
        <x:v>FR-ADM-009</x:v>
      </x:c>
      <x:c r="B116" s="85" t="str">
        <x:v>Функциональное</x:v>
      </x:c>
      <x:c r="C116" s="85" t="str">
        <x:v>Архивирование сохраняет снимки в существующих заказах.</x:v>
      </x:c>
      <x:c r="D116" s="85" t="str">
        <x:v>E03, E06, E12</x:v>
      </x:c>
      <x:c r="E116" s="200" t="n">
        <x:f>IF(F116="",0,LEN(F116)-LEN(SUBSTITUTE(F116,",",""))+1)</x:f>
        <x:v>6</x:v>
      </x:c>
      <x:c r="F116" s="85" t="str">
        <x:v>E03-BO-17, E06-BE-02, E06-BO-01, E06-QA-01, E06-QA-02, E12-QA-06</x:v>
      </x:c>
      <x:c r="G116" s="188" t="str">
        <x:f>IF(E116&gt;0,"Покрыто","Пробел")</x:f>
        <x:v>Покрыто</x:v>
      </x:c>
    </x:row>
    <x:row r="117" ht="52" customHeight="1">
      <x:c r="A117" s="113" t="str">
        <x:v>FR-ADM-010</x:v>
      </x:c>
      <x:c r="B117" s="85" t="str">
        <x:v>Функциональное</x:v>
      </x:c>
      <x:c r="C117" s="85" t="str">
        <x:v>Каждое изменение структуры и цены фиксируется в аудите.</x:v>
      </x:c>
      <x:c r="D117" s="85" t="str">
        <x:v>E03, E06, E12</x:v>
      </x:c>
      <x:c r="E117" s="200" t="n">
        <x:f>IF(F117="",0,LEN(F117)-LEN(SUBSTITUTE(F117,",",""))+1)</x:f>
        <x:v>7</x:v>
      </x:c>
      <x:c r="F117" s="85" t="str">
        <x:v>E03-BO-17, E06-BE-01, E06-BE-07, E06-BO-01, E06-QA-01, E06-QA-02, E12-QA-06</x:v>
      </x:c>
      <x:c r="G117" s="188" t="str">
        <x:f>IF(E117&gt;0,"Покрыто","Пробел")</x:f>
        <x:v>Покрыто</x:v>
      </x:c>
    </x:row>
    <x:row r="118" ht="52" customHeight="1">
      <x:c r="A118" s="113" t="str">
        <x:v>FR-AVL-001</x:v>
      </x:c>
      <x:c r="B118" s="85" t="str">
        <x:v>Функциональное</x:v>
      </x:c>
      <x:c r="C118" s="85" t="str">
        <x:v>Barista и administrator меняют оперативную доступность товара.</x:v>
      </x:c>
      <x:c r="D118" s="85" t="str">
        <x:v>E03, E11, E12</x:v>
      </x:c>
      <x:c r="E118" s="200" t="n">
        <x:f>IF(F118="",0,LEN(F118)-LEN(SUBSTITUTE(F118,",",""))+1)</x:f>
        <x:v>9</x:v>
      </x:c>
      <x:c r="F118" s="85" t="str">
        <x:v>E03-BO-09, E03-BO-16, E11-BE-01, E11-BO-01, E11-BO-02, E11-BO-03, E11-QA-01, E11-QA-02, E12-QA-06</x:v>
      </x:c>
      <x:c r="G118" s="188" t="str">
        <x:f>IF(E118&gt;0,"Покрыто","Пробел")</x:f>
        <x:v>Покрыто</x:v>
      </x:c>
    </x:row>
    <x:row r="119" ht="52" customHeight="1">
      <x:c r="A119" s="113" t="str">
        <x:v>FR-AVL-002</x:v>
      </x:c>
      <x:c r="B119" s="85" t="str">
        <x:v>Функциональное</x:v>
      </x:c>
      <x:c r="C119" s="85" t="str">
        <x:v>Barista и administrator меняют оперативную доступность варианта размера.</x:v>
      </x:c>
      <x:c r="D119" s="85" t="str">
        <x:v>E03, E11, E12</x:v>
      </x:c>
      <x:c r="E119" s="200" t="n">
        <x:f>IF(F119="",0,LEN(F119)-LEN(SUBSTITUTE(F119,",",""))+1)</x:f>
        <x:v>9</x:v>
      </x:c>
      <x:c r="F119" s="85" t="str">
        <x:v>E03-BO-09, E03-BO-16, E11-BE-02, E11-BO-01, E11-BO-02, E11-BO-03, E11-QA-01, E11-QA-02, E12-QA-06</x:v>
      </x:c>
      <x:c r="G119" s="188" t="str">
        <x:f>IF(E119&gt;0,"Покрыто","Пробел")</x:f>
        <x:v>Покрыто</x:v>
      </x:c>
    </x:row>
    <x:row r="120" ht="52" customHeight="1">
      <x:c r="A120" s="113" t="str">
        <x:v>FR-AVL-003</x:v>
      </x:c>
      <x:c r="B120" s="85" t="str">
        <x:v>Функциональное</x:v>
      </x:c>
      <x:c r="C120" s="85" t="str">
        <x:v>Barista и administrator меняют оперативную доступность добавки.</x:v>
      </x:c>
      <x:c r="D120" s="85" t="str">
        <x:v>E03, E11, E12</x:v>
      </x:c>
      <x:c r="E120" s="200" t="n">
        <x:f>IF(F120="",0,LEN(F120)-LEN(SUBSTITUTE(F120,",",""))+1)</x:f>
        <x:v>9</x:v>
      </x:c>
      <x:c r="F120" s="85" t="str">
        <x:v>E03-BO-09, E03-BO-16, E11-BE-03, E11-BO-01, E11-BO-02, E11-BO-03, E11-QA-01, E11-QA-02, E12-QA-06</x:v>
      </x:c>
      <x:c r="G120" s="188" t="str">
        <x:f>IF(E120&gt;0,"Покрыто","Пробел")</x:f>
        <x:v>Покрыто</x:v>
      </x:c>
    </x:row>
    <x:row r="121" ht="52" customHeight="1">
      <x:c r="A121" s="113" t="str">
        <x:v>FR-AVL-004</x:v>
      </x:c>
      <x:c r="B121" s="85" t="str">
        <x:v>Функциональное</x:v>
      </x:c>
      <x:c r="C121" s="85" t="str">
        <x:v>Barista и administrator управляют глобальным приёмом заказов.</x:v>
      </x:c>
      <x:c r="D121" s="85" t="str">
        <x:v>E03, E11, E12</x:v>
      </x:c>
      <x:c r="E121" s="200" t="n">
        <x:f>IF(F121="",0,LEN(F121)-LEN(SUBSTITUTE(F121,",",""))+1)</x:f>
        <x:v>8</x:v>
      </x:c>
      <x:c r="F121" s="85" t="str">
        <x:v>E03-BO-09, E03-BO-16, E11-BE-04, E11-BO-01, E11-BO-04, E11-QA-01, E11-QA-02, E12-QA-06</x:v>
      </x:c>
      <x:c r="G121" s="188" t="str">
        <x:f>IF(E121&gt;0,"Покрыто","Пробел")</x:f>
        <x:v>Покрыто</x:v>
      </x:c>
    </x:row>
    <x:row r="122" ht="52" customHeight="1">
      <x:c r="A122" s="113" t="str">
        <x:v>FR-AVL-005</x:v>
      </x:c>
      <x:c r="B122" s="85" t="str">
        <x:v>Функциональное</x:v>
      </x:c>
      <x:c r="C122" s="85" t="str">
        <x:v>Изменение применяется сразу после успешного ответа API.</x:v>
      </x:c>
      <x:c r="D122" s="85" t="str">
        <x:v>E03, E11, E12</x:v>
      </x:c>
      <x:c r="E122" s="200" t="n">
        <x:f>IF(F122="",0,LEN(F122)-LEN(SUBSTITUTE(F122,",",""))+1)</x:f>
        <x:v>12</x:v>
      </x:c>
      <x:c r="F122" s="85" t="str">
        <x:v>E03-BO-09, E03-BO-16, E11-BE-01, E11-BE-02, E11-BE-03, E11-BE-04, E11-BO-01, E11-BO-03, E11-BO-04, E11-QA-01, E11-QA-02, E12-QA-06</x:v>
      </x:c>
      <x:c r="G122" s="188" t="str">
        <x:f>IF(E122&gt;0,"Покрыто","Пробел")</x:f>
        <x:v>Покрыто</x:v>
      </x:c>
    </x:row>
    <x:row r="123" ht="52" customHeight="1">
      <x:c r="A123" s="113" t="str">
        <x:v>FR-AVL-006</x:v>
      </x:c>
      <x:c r="B123" s="85" t="str">
        <x:v>Функциональное</x:v>
      </x:c>
      <x:c r="C123" s="85" t="str">
        <x:v>Аудит хранит тип объекта, идентификатор, значение, автора и время.</x:v>
      </x:c>
      <x:c r="D123" s="85" t="str">
        <x:v>E03, E11, E12</x:v>
      </x:c>
      <x:c r="E123" s="200" t="n">
        <x:f>IF(F123="",0,LEN(F123)-LEN(SUBSTITUTE(F123,",",""))+1)</x:f>
        <x:v>13</x:v>
      </x:c>
      <x:c r="F123" s="85" t="str">
        <x:v>E03-BO-10, E03-BO-16, E11-BE-01, E11-BE-02, E11-BE-03, E11-BE-04, E11-BO-01, E11-BO-02, E11-BO-03, E11-BO-04, E11-QA-01, E11-QA-02, E12-QA-06</x:v>
      </x:c>
      <x:c r="G123" s="188" t="str">
        <x:f>IF(E123&gt;0,"Покрыто","Пробел")</x:f>
        <x:v>Покрыто</x:v>
      </x:c>
    </x:row>
    <x:row r="124" ht="52" customHeight="1">
      <x:c r="A124" s="113" t="str">
        <x:v>FR-AVL-007</x:v>
      </x:c>
      <x:c r="B124" s="85" t="str">
        <x:v>Функциональное</x:v>
      </x:c>
      <x:c r="C124" s="85" t="str">
        <x:v>Публичное меню отражает актуальную доступность.</x:v>
      </x:c>
      <x:c r="D124" s="85" t="str">
        <x:v>E03, E11, E12</x:v>
      </x:c>
      <x:c r="E124" s="200" t="n">
        <x:f>IF(F124="",0,LEN(F124)-LEN(SUBSTITUTE(F124,",",""))+1)</x:f>
        <x:v>9</x:v>
      </x:c>
      <x:c r="F124" s="85" t="str">
        <x:v>E03-BO-16, E11-BE-01, E11-BE-02, E11-BE-03, E11-BE-04, E11-BO-01, E11-QA-01, E11-QA-02, E12-QA-06</x:v>
      </x:c>
      <x:c r="G124" s="188" t="str">
        <x:f>IF(E124&gt;0,"Покрыто","Пробел")</x:f>
        <x:v>Покрыто</x:v>
      </x:c>
    </x:row>
    <x:row r="125" ht="52" customHeight="1">
      <x:c r="A125" s="113" t="str">
        <x:v>FR-AVL-008</x:v>
      </x:c>
      <x:c r="B125" s="85" t="str">
        <x:v>Функциональное</x:v>
      </x:c>
      <x:c r="C125" s="85" t="str">
        <x:v>Оформление заказа повторно проверяет доступность в транзакции.</x:v>
      </x:c>
      <x:c r="D125" s="85" t="str">
        <x:v>E03, E11, E12</x:v>
      </x:c>
      <x:c r="E125" s="200" t="n">
        <x:f>IF(F125="",0,LEN(F125)-LEN(SUBSTITUTE(F125,",",""))+1)</x:f>
        <x:v>8</x:v>
      </x:c>
      <x:c r="F125" s="85" t="str">
        <x:v>E03-BO-16, E11-BE-02, E11-BE-03, E11-BE-04, E11-BO-01, E11-QA-01, E11-QA-02, E12-QA-06</x:v>
      </x:c>
      <x:c r="G125" s="188" t="str">
        <x:f>IF(E125&gt;0,"Покрыто","Пробел")</x:f>
        <x:v>Покрыто</x:v>
      </x:c>
    </x:row>
    <x:row r="126" ht="52" customHeight="1">
      <x:c r="A126" s="113" t="str">
        <x:v>Q-SEC</x:v>
      </x:c>
      <x:c r="B126" s="85" t="str">
        <x:v>Качество</x:v>
      </x:c>
      <x:c r="C126" s="85" t="str">
        <x:v>API проходит проверку ролевого доступа, владения ресурсами, OTP, сессий, валидации входа, журналов и зависимостей; количество открытых находок уровней Critical и High равно 0.</x:v>
      </x:c>
      <x:c r="D126" s="85" t="str">
        <x:v>E12</x:v>
      </x:c>
      <x:c r="E126" s="200" t="n">
        <x:f>IF(F126="",0,LEN(F126)-LEN(SUBSTITUTE(F126,",",""))+1)</x:f>
        <x:v>2</x:v>
      </x:c>
      <x:c r="F126" s="85" t="str">
        <x:v>E12-BE-02, E12-QA-05</x:v>
      </x:c>
      <x:c r="G126" s="188" t="str">
        <x:f>IF(E126&gt;0,"Покрыто","Пробел")</x:f>
        <x:v>Покрыто</x:v>
      </x:c>
    </x:row>
    <x:row r="127" ht="52" customHeight="1">
      <x:c r="A127" s="113" t="str">
        <x:v>Q-PERF</x:v>
      </x:c>
      <x:c r="B127" s="85" t="str">
        <x:v>Качество</x:v>
      </x:c>
      <x:c r="C127" s="85" t="str">
        <x:v>Публичное меню, операции заказа и очередь укладываются в показатели раздела 18.2 на целевом наборе данных.</x:v>
      </x:c>
      <x:c r="D127" s="85" t="str">
        <x:v>E12</x:v>
      </x:c>
      <x:c r="E127" s="200" t="n">
        <x:f>IF(F127="",0,LEN(F127)-LEN(SUBSTITUTE(F127,",",""))+1)</x:f>
        <x:v>4</x:v>
      </x:c>
      <x:c r="F127" s="85" t="str">
        <x:v>E12-BE-01, E12-FO-01, E12-BO-01, E12-QA-04</x:v>
      </x:c>
      <x:c r="G127" s="188" t="str">
        <x:f>IF(E127&gt;0,"Покрыто","Пробел")</x:f>
        <x:v>Покрыто</x:v>
      </x:c>
    </x:row>
    <x:row r="128" ht="52" customHeight="1">
      <x:c r="A128" s="113" t="str">
        <x:v>Q-DB</x:v>
      </x:c>
      <x:c r="B128" s="85" t="str">
        <x:v>Качество</x:v>
      </x:c>
      <x:c r="C128" s="85" t="str">
        <x:v>Запросы публичного меню, очереди, истории и аудита используют подтверждённые индексы; количество N+1-запросов равно 0.</x:v>
      </x:c>
      <x:c r="D128" s="85" t="str">
        <x:v>E12</x:v>
      </x:c>
      <x:c r="E128" s="200" t="n">
        <x:f>IF(F128="",0,LEN(F128)-LEN(SUBSTITUTE(F128,",",""))+1)</x:f>
        <x:v>1</x:v>
      </x:c>
      <x:c r="F128" s="85" t="str">
        <x:v>E12-BE-01</x:v>
      </x:c>
      <x:c r="G128" s="188" t="str">
        <x:f>IF(E128&gt;0,"Покрыто","Пробел")</x:f>
        <x:v>Покрыто</x:v>
      </x:c>
    </x:row>
    <x:row r="129" ht="52" customHeight="1">
      <x:c r="A129" s="113" t="str">
        <x:v>Q-UX</x:v>
      </x:c>
      <x:c r="B129" s="85" t="str">
        <x:v>Качество</x:v>
      </x:c>
      <x:c r="C129" s="85" t="str">
        <x:v>Основные маршруты сохраняют отзывчивость на целевых мобильных и рабочих устройствах.</x:v>
      </x:c>
      <x:c r="D129" s="85" t="str">
        <x:v>E12</x:v>
      </x:c>
      <x:c r="E129" s="200" t="n">
        <x:f>IF(F129="",0,LEN(F129)-LEN(SUBSTITUTE(F129,",",""))+1)</x:f>
        <x:v>2</x:v>
      </x:c>
      <x:c r="F129" s="85" t="str">
        <x:v>E12-FO-01, E12-BO-01</x:v>
      </x:c>
      <x:c r="G129" s="188" t="str">
        <x:f>IF(E129&gt;0,"Покрыто","Пробел")</x:f>
        <x:v>Покрыто</x:v>
      </x:c>
    </x:row>
    <x:row r="130" ht="52" customHeight="1">
      <x:c r="A130" s="113" t="str">
        <x:v>Q-A11Y</x:v>
      </x:c>
      <x:c r="B130" s="85" t="str">
        <x:v>Качество</x:v>
      </x:c>
      <x:c r="C130" s="85" t="str">
        <x:v>Основные маршруты front-office и back-office соответствуют WCAG 2.1 AA по автоматическим и ручным проверкам.</x:v>
      </x:c>
      <x:c r="D130" s="85" t="str">
        <x:v>E02, E03, E12</x:v>
      </x:c>
      <x:c r="E130" s="200" t="n">
        <x:f>IF(F130="",0,LEN(F130)-LEN(SUBSTITUTE(F130,",",""))+1)</x:f>
        <x:v>4</x:v>
      </x:c>
      <x:c r="F130" s="85" t="str">
        <x:v>E02-FO-13, E02-QA-01, E03-QA-01, E12-QA-03</x:v>
      </x:c>
      <x:c r="G130" s="188" t="str">
        <x:f>IF(E130&gt;0,"Покрыто","Пробел")</x:f>
        <x:v>Покрыто</x:v>
      </x:c>
    </x:row>
    <x:row r="131" ht="52" customHeight="1">
      <x:c r="A131" s="113" t="str">
        <x:v>Q-PRIVACY</x:v>
      </x:c>
      <x:c r="B131" s="85" t="str">
        <x:v>Качество</x:v>
      </x:c>
      <x:c r="C131" s="85" t="str">
        <x:v>Телефоны, OTP и токены маскируются в журналах, ошибках и клиентских хранилищах согласно модели данных.</x:v>
      </x:c>
      <x:c r="D131" s="85" t="str">
        <x:v>E12</x:v>
      </x:c>
      <x:c r="E131" s="200" t="n">
        <x:f>IF(F131="",0,LEN(F131)-LEN(SUBSTITUTE(F131,",",""))+1)</x:f>
        <x:v>1</x:v>
      </x:c>
      <x:c r="F131" s="85" t="str">
        <x:v>E12-QA-05</x:v>
      </x:c>
      <x:c r="G131" s="188" t="str">
        <x:f>IF(E131&gt;0,"Покрыто","Пробел")</x:f>
        <x:v>Покрыто</x:v>
      </x:c>
    </x:row>
    <x:row r="132" ht="52" customHeight="1">
      <x:c r="A132" s="113" t="str">
        <x:v>Q-BACKUP</x:v>
      </x:c>
      <x:c r="B132" s="85" t="str">
        <x:v>Качество</x:v>
      </x:c>
      <x:c r="C132" s="85" t="str">
        <x:v>PostgreSQL получает ежедневную шифрованную резервную копию с контролем выполнения и политикой хранения.</x:v>
      </x:c>
      <x:c r="D132" s="85" t="str">
        <x:v>E12</x:v>
      </x:c>
      <x:c r="E132" s="200" t="n">
        <x:f>IF(F132="",0,LEN(F132)-LEN(SUBSTITUTE(F132,",",""))+1)</x:f>
        <x:v>1</x:v>
      </x:c>
      <x:c r="F132" s="85" t="str">
        <x:v>E12-DO-01</x:v>
      </x:c>
      <x:c r="G132" s="188" t="str">
        <x:f>IF(E132&gt;0,"Покрыто","Пробел")</x:f>
        <x:v>Покрыто</x:v>
      </x:c>
    </x:row>
    <x:row r="133" ht="52" customHeight="1">
      <x:c r="A133" s="113" t="str">
        <x:v>Q-RESTORE</x:v>
      </x:c>
      <x:c r="B133" s="85" t="str">
        <x:v>Качество</x:v>
      </x:c>
      <x:c r="C133" s="85" t="str">
        <x:v>Восстановление резервной копии проходит в изолированной среде и подтверждает согласованные RPO и RTO.</x:v>
      </x:c>
      <x:c r="D133" s="85" t="str">
        <x:v>E12</x:v>
      </x:c>
      <x:c r="E133" s="200" t="n">
        <x:f>IF(F133="",0,LEN(F133)-LEN(SUBSTITUTE(F133,",",""))+1)</x:f>
        <x:v>1</x:v>
      </x:c>
      <x:c r="F133" s="85" t="str">
        <x:v>E12-DO-02</x:v>
      </x:c>
      <x:c r="G133" s="188" t="str">
        <x:f>IF(E133&gt;0,"Покрыто","Пробел")</x:f>
        <x:v>Покрыто</x:v>
      </x:c>
    </x:row>
    <x:row r="134" ht="52" customHeight="1">
      <x:c r="A134" s="113" t="str">
        <x:v>Q-OBS</x:v>
      </x:c>
      <x:c r="B134" s="85" t="str">
        <x:v>Качество</x:v>
      </x:c>
      <x:c r="C134" s="85" t="str">
        <x:v>Метрики, панели и оповещения покрывают доступность сервисов, ошибки OTP, создание заказов, конфликты очереди и резервные копии.</x:v>
      </x:c>
      <x:c r="D134" s="85" t="str">
        <x:v>E01, E12</x:v>
      </x:c>
      <x:c r="E134" s="200" t="n">
        <x:f>IF(F134="",0,LEN(F134)-LEN(SUBSTITUTE(F134,",",""))+1)</x:f>
        <x:v>2</x:v>
      </x:c>
      <x:c r="F134" s="85" t="str">
        <x:v>E01-BE-05, E12-DO-03</x:v>
      </x:c>
      <x:c r="G134" s="188" t="str">
        <x:f>IF(E134&gt;0,"Покрыто","Пробел")</x:f>
        <x:v>Покрыто</x:v>
      </x:c>
    </x:row>
    <x:row r="135" ht="52" customHeight="1">
      <x:c r="A135" s="113" t="str">
        <x:v>Q-SMOKE</x:v>
      </x:c>
      <x:c r="B135" s="85" t="str">
        <x:v>Качество</x:v>
      </x:c>
      <x:c r="C135" s="85" t="str">
        <x:v>Чистая база проходит миграции, seed и полный API-маршрут до выдачи заказа.</x:v>
      </x:c>
      <x:c r="D135" s="85" t="str">
        <x:v>E12</x:v>
      </x:c>
      <x:c r="E135" s="200" t="n">
        <x:f>IF(F135="",0,LEN(F135)-LEN(SUBSTITUTE(F135,",",""))+1)</x:f>
        <x:v>1</x:v>
      </x:c>
      <x:c r="F135" s="85" t="str">
        <x:v>E12-QA-01</x:v>
      </x:c>
      <x:c r="G135" s="188" t="str">
        <x:f>IF(E135&gt;0,"Покрыто","Пробел")</x:f>
        <x:v>Покрыто</x:v>
      </x:c>
    </x:row>
    <x:row r="136" ht="52" customHeight="1">
      <x:c r="A136" s="113" t="str">
        <x:v>Q-E2E</x:v>
      </x:c>
      <x:c r="B136" s="85" t="str">
        <x:v>Качество</x:v>
      </x:c>
      <x:c r="C136" s="85" t="str">
        <x:v>Сквозной браузерный сценарий связывает создание меню, клиентский заказ, приготовление, оплату, выдачу и историю.</x:v>
      </x:c>
      <x:c r="D136" s="85" t="str">
        <x:v>E12</x:v>
      </x:c>
      <x:c r="E136" s="200" t="n">
        <x:f>IF(F136="",0,LEN(F136)-LEN(SUBSTITUTE(F136,",",""))+1)</x:f>
        <x:v>1</x:v>
      </x:c>
      <x:c r="F136" s="85" t="str">
        <x:v>E12-QA-02</x:v>
      </x:c>
      <x:c r="G136" s="188" t="str">
        <x:f>IF(E136&gt;0,"Покрыто","Пробел")</x:f>
        <x:v>Покрыто</x:v>
      </x:c>
    </x:row>
    <x:row r="137" ht="52" customHeight="1">
      <x:c r="A137" s="113" t="str">
        <x:v>Q-LOAD</x:v>
      </x:c>
      <x:c r="B137" s="85" t="str">
        <x:v>Качество</x:v>
      </x:c>
      <x:c r="C137" s="85" t="str">
        <x:v>Нагрузочный профиль публичного меню, OTP, создания заказа, polling очереди и истории соответствует целевым p95 и error rate.</x:v>
      </x:c>
      <x:c r="D137" s="85" t="str">
        <x:v>E12</x:v>
      </x:c>
      <x:c r="E137" s="200" t="n">
        <x:f>IF(F137="",0,LEN(F137)-LEN(SUBSTITUTE(F137,",",""))+1)</x:f>
        <x:v>1</x:v>
      </x:c>
      <x:c r="F137" s="85" t="str">
        <x:v>E12-QA-04</x:v>
      </x:c>
      <x:c r="G137" s="188" t="str">
        <x:f>IF(E137&gt;0,"Покрыто","Пробел")</x:f>
        <x:v>Покрыто</x:v>
      </x:c>
    </x:row>
    <x:row r="138" ht="52" customHeight="1">
      <x:c r="A138" s="115" t="str">
        <x:v>Q-RELEASE</x:v>
      </x:c>
      <x:c r="B138" s="116" t="str">
        <x:v>Качество</x:v>
      </x:c>
      <x:c r="C138" s="116" t="str">
        <x:v>Выпуск фиксирует совместимые версии трёх репозиториев, результаты обязательных проверок и процедуру миграции.</x:v>
      </x:c>
      <x:c r="D138" s="116" t="str">
        <x:v>E12</x:v>
      </x:c>
      <x:c r="E138" s="201" t="n">
        <x:f>IF(F138="",0,LEN(F138)-LEN(SUBSTITUTE(F138,",",""))+1)</x:f>
        <x:v>2</x:v>
      </x:c>
      <x:c r="F138" s="116" t="str">
        <x:v>E12-DO-04, E12-DO-05</x:v>
      </x:c>
      <x:c r="G138" s="189" t="str">
        <x:f>IF(E138&gt;0,"Покрыто","Пробел")</x:f>
        <x:v>Покрыто</x:v>
      </x:c>
    </x:row>
  </x:sheetData>
  <x:conditionalFormatting sqref="G2:G138">
    <x:cfRule type="expression" dxfId="7" priority="1">
      <x:formula>$G2="Покрыто"</x:formula>
    </x:cfRule>
    <x:cfRule type="expression" dxfId="8" priority="2">
      <x:formula>$G2="Пробел"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4ebd787a8147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34" t="str">
        <x:v>Контуры</x:v>
      </x:c>
      <x:c r="B1" s="186" t="str">
        <x:v>Размеры</x:v>
      </x:c>
      <x:c r="C1" s="186" t="str">
        <x:v>Приоритеты</x:v>
      </x:c>
      <x:c r="D1" s="186" t="str">
        <x:v>Статусы</x:v>
      </x:c>
      <x:c r="E1" s="135" t="str">
        <x:v>Фазы</x:v>
      </x:c>
    </x:row>
    <x:row r="2">
      <x:c r="A2" s="113" t="str">
        <x:v>Backend</x:v>
      </x:c>
      <x:c r="B2" s="85" t="str">
        <x:v>S</x:v>
      </x:c>
      <x:c r="C2" s="85" t="str">
        <x:v>Must</x:v>
      </x:c>
      <x:c r="D2" s="85" t="str">
        <x:v>Запланировано</x:v>
      </x:c>
      <x:c r="E2" s="114" t="str">
        <x:v>Фундамент</x:v>
      </x:c>
    </x:row>
    <x:row r="3">
      <x:c r="A3" s="113" t="str">
        <x:v>Front-office</x:v>
      </x:c>
      <x:c r="B3" s="85" t="str">
        <x:v>M</x:v>
      </x:c>
      <x:c r="C3" s="85" t="str">
        <x:v>Should</x:v>
      </x:c>
      <x:c r="D3" s="85" t="str">
        <x:v>В работе</x:v>
      </x:c>
      <x:c r="E3" s="114" t="str">
        <x:v>UI до функций</x:v>
      </x:c>
    </x:row>
    <x:row r="4">
      <x:c r="A4" s="113" t="str">
        <x:v>Back-office</x:v>
      </x:c>
      <x:c r="B4" s="85" t="str">
        <x:v>L</x:v>
      </x:c>
      <x:c r="C4" s="85" t="str">
        <x:v>Could</x:v>
      </x:c>
      <x:c r="D4" s="85" t="str">
        <x:v>Блокировано</x:v>
      </x:c>
      <x:c r="E4" s="114" t="str">
        <x:v>Основные функции</x:v>
      </x:c>
    </x:row>
    <x:row r="5">
      <x:c r="A5" s="113" t="str">
        <x:v>DevOps</x:v>
      </x:c>
      <x:c r="B5" s="85"/>
      <x:c r="C5" s="85"/>
      <x:c r="D5" s="85" t="str">
        <x:v>Готово</x:v>
      </x:c>
      <x:c r="E5" s="114" t="str">
        <x:v>Выпуск</x:v>
      </x:c>
    </x:row>
    <x:row r="6">
      <x:c r="A6" s="113" t="str">
        <x:v>QA</x:v>
      </x:c>
      <x:c r="B6" s="85"/>
      <x:c r="C6" s="85"/>
      <x:c r="D6" s="85"/>
      <x:c r="E6" s="114"/>
    </x:row>
    <x:row r="7">
      <x:c r="A7" s="115"/>
      <x:c r="B7" s="116"/>
      <x:c r="C7" s="116"/>
      <x:c r="D7" s="116"/>
      <x:c r="E7" s="117"/>
    </x:row>
  </x:sheetData>
  <x:pageMargins left="0.7" right="0.7" top="0.75" bottom="0.75" header="0.3" footer="0.3"/>
</x:worksheet>
</file>